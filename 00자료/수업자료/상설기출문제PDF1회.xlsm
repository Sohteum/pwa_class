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E:\영진(2022년)\기본서\2급\2022년 2급 파일\상설기출문제\"/>
    </mc:Choice>
  </mc:AlternateContent>
  <bookViews>
    <workbookView xWindow="0" yWindow="0" windowWidth="15891" windowHeight="14434" tabRatio="800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5" r:id="rId5"/>
    <sheet name="분석작업-2" sheetId="6" r:id="rId6"/>
    <sheet name="매크로작업" sheetId="7" r:id="rId7"/>
    <sheet name="차트작업" sheetId="8" r:id="rId8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0" i="7" l="1"/>
  <c r="F9" i="7"/>
  <c r="F8" i="7"/>
  <c r="F7" i="7"/>
  <c r="F6" i="7"/>
  <c r="F5" i="7"/>
  <c r="F4" i="7"/>
  <c r="C6" i="6"/>
  <c r="B13" i="5"/>
  <c r="F12" i="5"/>
  <c r="G12" i="5" s="1"/>
  <c r="E12" i="5"/>
  <c r="F11" i="5"/>
  <c r="G11" i="5" s="1"/>
  <c r="E11" i="5"/>
  <c r="F10" i="5"/>
  <c r="G10" i="5" s="1"/>
  <c r="E10" i="5"/>
  <c r="G9" i="5"/>
  <c r="F9" i="5"/>
  <c r="E9" i="5"/>
  <c r="F8" i="5"/>
  <c r="G8" i="5" s="1"/>
  <c r="E8" i="5"/>
  <c r="F7" i="5"/>
  <c r="G7" i="5" s="1"/>
  <c r="E7" i="5"/>
  <c r="F6" i="5"/>
  <c r="G6" i="5" s="1"/>
  <c r="E6" i="5"/>
  <c r="F5" i="5"/>
  <c r="G5" i="5" s="1"/>
  <c r="E5" i="5"/>
  <c r="E13" i="5" s="1"/>
  <c r="F4" i="5"/>
  <c r="F13" i="5" s="1"/>
  <c r="E4" i="5"/>
  <c r="D23" i="4"/>
  <c r="D22" i="4"/>
  <c r="D21" i="4"/>
  <c r="D20" i="4"/>
  <c r="D19" i="4"/>
  <c r="D18" i="4"/>
  <c r="D17" i="4"/>
  <c r="D16" i="4"/>
  <c r="D15" i="4"/>
  <c r="G4" i="5" l="1"/>
  <c r="G13" i="5" s="1"/>
</calcChain>
</file>

<file path=xl/sharedStrings.xml><?xml version="1.0" encoding="utf-8"?>
<sst xmlns="http://schemas.openxmlformats.org/spreadsheetml/2006/main" count="273" uniqueCount="237">
  <si>
    <t>제품별 매입 대장</t>
    <phoneticPr fontId="3" type="noConversion"/>
  </si>
  <si>
    <r>
      <t>4</t>
    </r>
    <r>
      <rPr>
        <sz val="11"/>
        <color theme="1"/>
        <rFont val="맑은 고딕"/>
        <family val="3"/>
        <charset val="129"/>
        <scheme val="minor"/>
      </rPr>
      <t>/4 분기 대리점별 판매 현황표</t>
    </r>
    <phoneticPr fontId="3" type="noConversion"/>
  </si>
  <si>
    <t>구분</t>
    <phoneticPr fontId="3" type="noConversion"/>
  </si>
  <si>
    <t>영업소</t>
    <phoneticPr fontId="3" type="noConversion"/>
  </si>
  <si>
    <t>10월</t>
    <phoneticPr fontId="3" type="noConversion"/>
  </si>
  <si>
    <t>11월</t>
    <phoneticPr fontId="3" type="noConversion"/>
  </si>
  <si>
    <t>12월</t>
    <phoneticPr fontId="3" type="noConversion"/>
  </si>
  <si>
    <t>합계</t>
    <phoneticPr fontId="3" type="noConversion"/>
  </si>
  <si>
    <t>평균</t>
    <phoneticPr fontId="3" type="noConversion"/>
  </si>
  <si>
    <t>수도권</t>
    <phoneticPr fontId="3" type="noConversion"/>
  </si>
  <si>
    <t>서울</t>
    <phoneticPr fontId="3" type="noConversion"/>
  </si>
  <si>
    <t>지방</t>
    <phoneticPr fontId="3" type="noConversion"/>
  </si>
  <si>
    <t>광주</t>
    <phoneticPr fontId="3" type="noConversion"/>
  </si>
  <si>
    <t>수도권</t>
    <phoneticPr fontId="3" type="noConversion"/>
  </si>
  <si>
    <t>수원</t>
    <phoneticPr fontId="3" type="noConversion"/>
  </si>
  <si>
    <t>대구</t>
    <phoneticPr fontId="3" type="noConversion"/>
  </si>
  <si>
    <t>대전</t>
    <phoneticPr fontId="3" type="noConversion"/>
  </si>
  <si>
    <t>분당</t>
    <phoneticPr fontId="3" type="noConversion"/>
  </si>
  <si>
    <t>부산</t>
    <phoneticPr fontId="3" type="noConversion"/>
  </si>
  <si>
    <t>일산</t>
    <phoneticPr fontId="3" type="noConversion"/>
  </si>
  <si>
    <t>합계</t>
    <phoneticPr fontId="3" type="noConversion"/>
  </si>
  <si>
    <t>연수 점수 현황</t>
    <phoneticPr fontId="3" type="noConversion"/>
  </si>
  <si>
    <t>수준</t>
    <phoneticPr fontId="3" type="noConversion"/>
  </si>
  <si>
    <t>성명</t>
    <phoneticPr fontId="3" type="noConversion"/>
  </si>
  <si>
    <t>성별</t>
    <phoneticPr fontId="3" type="noConversion"/>
  </si>
  <si>
    <t>근무년수</t>
    <phoneticPr fontId="3" type="noConversion"/>
  </si>
  <si>
    <t>결석</t>
    <phoneticPr fontId="3" type="noConversion"/>
  </si>
  <si>
    <t>경력</t>
    <phoneticPr fontId="3" type="noConversion"/>
  </si>
  <si>
    <t>필기</t>
    <phoneticPr fontId="3" type="noConversion"/>
  </si>
  <si>
    <t>실기</t>
    <phoneticPr fontId="3" type="noConversion"/>
  </si>
  <si>
    <t>총점</t>
    <phoneticPr fontId="3" type="noConversion"/>
  </si>
  <si>
    <t>중급반</t>
    <phoneticPr fontId="3" type="noConversion"/>
  </si>
  <si>
    <t>임미령</t>
    <phoneticPr fontId="3" type="noConversion"/>
  </si>
  <si>
    <t>여</t>
    <phoneticPr fontId="3" type="noConversion"/>
  </si>
  <si>
    <t>고급반</t>
    <phoneticPr fontId="3" type="noConversion"/>
  </si>
  <si>
    <t>김호남</t>
    <phoneticPr fontId="3" type="noConversion"/>
  </si>
  <si>
    <t>남</t>
    <phoneticPr fontId="3" type="noConversion"/>
  </si>
  <si>
    <t>중급반</t>
    <phoneticPr fontId="3" type="noConversion"/>
  </si>
  <si>
    <t>박수정</t>
    <phoneticPr fontId="3" type="noConversion"/>
  </si>
  <si>
    <t>고급반</t>
  </si>
  <si>
    <t>왕두형</t>
    <phoneticPr fontId="3" type="noConversion"/>
  </si>
  <si>
    <t>남</t>
    <phoneticPr fontId="3" type="noConversion"/>
  </si>
  <si>
    <t>기초반</t>
    <phoneticPr fontId="3" type="noConversion"/>
  </si>
  <si>
    <t>강의수</t>
    <phoneticPr fontId="3" type="noConversion"/>
  </si>
  <si>
    <t>남</t>
    <phoneticPr fontId="3" type="noConversion"/>
  </si>
  <si>
    <t>고급반</t>
    <phoneticPr fontId="3" type="noConversion"/>
  </si>
  <si>
    <t>유민한</t>
    <phoneticPr fontId="3" type="noConversion"/>
  </si>
  <si>
    <t>강수인</t>
    <phoneticPr fontId="3" type="noConversion"/>
  </si>
  <si>
    <t>여</t>
    <phoneticPr fontId="3" type="noConversion"/>
  </si>
  <si>
    <t>박한이</t>
    <phoneticPr fontId="3" type="noConversion"/>
  </si>
  <si>
    <t>기초반</t>
  </si>
  <si>
    <t>우연이</t>
    <phoneticPr fontId="3" type="noConversion"/>
  </si>
  <si>
    <t>중급반</t>
    <phoneticPr fontId="3" type="noConversion"/>
  </si>
  <si>
    <t>한동수</t>
    <phoneticPr fontId="3" type="noConversion"/>
  </si>
  <si>
    <t>기초반</t>
    <phoneticPr fontId="3" type="noConversion"/>
  </si>
  <si>
    <t>이지연</t>
    <phoneticPr fontId="3" type="noConversion"/>
  </si>
  <si>
    <t>중급반</t>
    <phoneticPr fontId="3" type="noConversion"/>
  </si>
  <si>
    <t>하나영</t>
    <phoneticPr fontId="3" type="noConversion"/>
  </si>
  <si>
    <t>여</t>
    <phoneticPr fontId="3" type="noConversion"/>
  </si>
  <si>
    <t>[표1]</t>
    <phoneticPr fontId="3" type="noConversion"/>
  </si>
  <si>
    <t>중고차 시세표</t>
    <phoneticPr fontId="3" type="noConversion"/>
  </si>
  <si>
    <t>[표2]</t>
    <phoneticPr fontId="3" type="noConversion"/>
  </si>
  <si>
    <t xml:space="preserve"> 직원 승진시험 현황</t>
    <phoneticPr fontId="3" type="noConversion"/>
  </si>
  <si>
    <t>년수</t>
    <phoneticPr fontId="3" type="noConversion"/>
  </si>
  <si>
    <t>모델명</t>
    <phoneticPr fontId="3" type="noConversion"/>
  </si>
  <si>
    <t>가격(만원)</t>
    <phoneticPr fontId="3" type="noConversion"/>
  </si>
  <si>
    <t>색상</t>
    <phoneticPr fontId="3" type="noConversion"/>
  </si>
  <si>
    <t>소속</t>
    <phoneticPr fontId="3" type="noConversion"/>
  </si>
  <si>
    <t>영어</t>
    <phoneticPr fontId="3" type="noConversion"/>
  </si>
  <si>
    <t>전산</t>
    <phoneticPr fontId="3" type="noConversion"/>
  </si>
  <si>
    <t>H9</t>
    <phoneticPr fontId="3" type="noConversion"/>
  </si>
  <si>
    <t>H0301BL</t>
    <phoneticPr fontId="3" type="noConversion"/>
  </si>
  <si>
    <t>김진국</t>
    <phoneticPr fontId="3" type="noConversion"/>
  </si>
  <si>
    <t>경리부</t>
    <phoneticPr fontId="3" type="noConversion"/>
  </si>
  <si>
    <t>인원수</t>
    <phoneticPr fontId="3" type="noConversion"/>
  </si>
  <si>
    <t>H10</t>
    <phoneticPr fontId="3" type="noConversion"/>
  </si>
  <si>
    <t>K0202WH</t>
    <phoneticPr fontId="3" type="noConversion"/>
  </si>
  <si>
    <t>박동희</t>
    <phoneticPr fontId="3" type="noConversion"/>
  </si>
  <si>
    <t>관리부</t>
    <phoneticPr fontId="3" type="noConversion"/>
  </si>
  <si>
    <t>B9803WH</t>
    <phoneticPr fontId="3" type="noConversion"/>
  </si>
  <si>
    <t>서영수</t>
    <phoneticPr fontId="3" type="noConversion"/>
  </si>
  <si>
    <t>영업부</t>
    <phoneticPr fontId="3" type="noConversion"/>
  </si>
  <si>
    <t>H3</t>
    <phoneticPr fontId="3" type="noConversion"/>
  </si>
  <si>
    <t>H9904BL</t>
    <phoneticPr fontId="3" type="noConversion"/>
  </si>
  <si>
    <t>강남영</t>
    <phoneticPr fontId="3" type="noConversion"/>
  </si>
  <si>
    <t>경리부</t>
    <phoneticPr fontId="3" type="noConversion"/>
  </si>
  <si>
    <t>H7</t>
    <phoneticPr fontId="3" type="noConversion"/>
  </si>
  <si>
    <t>K0305BR</t>
    <phoneticPr fontId="3" type="noConversion"/>
  </si>
  <si>
    <t>명운수</t>
    <phoneticPr fontId="3" type="noConversion"/>
  </si>
  <si>
    <t>H8</t>
    <phoneticPr fontId="3" type="noConversion"/>
  </si>
  <si>
    <t>G0106BR</t>
    <phoneticPr fontId="3" type="noConversion"/>
  </si>
  <si>
    <t>이성철</t>
    <phoneticPr fontId="3" type="noConversion"/>
  </si>
  <si>
    <t>H5</t>
    <phoneticPr fontId="1" type="noConversion"/>
  </si>
  <si>
    <t>P0404BL</t>
    <phoneticPr fontId="1" type="noConversion"/>
  </si>
  <si>
    <t>김소연</t>
    <phoneticPr fontId="3" type="noConversion"/>
  </si>
  <si>
    <t>H6</t>
    <phoneticPr fontId="1" type="noConversion"/>
  </si>
  <si>
    <t>K0909WH</t>
    <phoneticPr fontId="1" type="noConversion"/>
  </si>
  <si>
    <t>최고수</t>
    <phoneticPr fontId="3" type="noConversion"/>
  </si>
  <si>
    <t>H8</t>
    <phoneticPr fontId="1" type="noConversion"/>
  </si>
  <si>
    <t>G0505BL</t>
    <phoneticPr fontId="1" type="noConversion"/>
  </si>
  <si>
    <t>구민정</t>
    <phoneticPr fontId="3" type="noConversion"/>
  </si>
  <si>
    <t>영업부</t>
    <phoneticPr fontId="3" type="noConversion"/>
  </si>
  <si>
    <t>[표3]</t>
    <phoneticPr fontId="3" type="noConversion"/>
  </si>
  <si>
    <t xml:space="preserve"> 중간평가  현황</t>
    <phoneticPr fontId="3" type="noConversion"/>
  </si>
  <si>
    <r>
      <t>하반기 프린터</t>
    </r>
    <r>
      <rPr>
        <b/>
        <sz val="11"/>
        <color theme="1"/>
        <rFont val="맑은 고딕"/>
        <family val="3"/>
        <charset val="129"/>
        <scheme val="minor"/>
      </rPr>
      <t xml:space="preserve"> </t>
    </r>
    <r>
      <rPr>
        <b/>
        <sz val="11"/>
        <rFont val="맑은 고딕"/>
        <family val="3"/>
        <charset val="129"/>
        <scheme val="minor"/>
      </rPr>
      <t>판매 현황</t>
    </r>
    <phoneticPr fontId="3" type="noConversion"/>
  </si>
  <si>
    <t>성명</t>
    <phoneticPr fontId="3" type="noConversion"/>
  </si>
  <si>
    <t>수학</t>
    <phoneticPr fontId="3" type="noConversion"/>
  </si>
  <si>
    <t>합계</t>
    <phoneticPr fontId="1" type="noConversion"/>
  </si>
  <si>
    <t>등수</t>
    <phoneticPr fontId="1" type="noConversion"/>
  </si>
  <si>
    <t>상품코드</t>
    <phoneticPr fontId="3" type="noConversion"/>
  </si>
  <si>
    <t>상품명</t>
    <phoneticPr fontId="3" type="noConversion"/>
  </si>
  <si>
    <t>판매량</t>
  </si>
  <si>
    <t>김수정</t>
    <phoneticPr fontId="3" type="noConversion"/>
  </si>
  <si>
    <t>박정호</t>
    <phoneticPr fontId="3" type="noConversion"/>
  </si>
  <si>
    <t>최아름</t>
    <phoneticPr fontId="3" type="noConversion"/>
  </si>
  <si>
    <t>박진수</t>
    <phoneticPr fontId="3" type="noConversion"/>
  </si>
  <si>
    <t>이영호</t>
    <phoneticPr fontId="3" type="noConversion"/>
  </si>
  <si>
    <t>PRC-300</t>
    <phoneticPr fontId="3" type="noConversion"/>
  </si>
  <si>
    <t>권민수</t>
    <phoneticPr fontId="3" type="noConversion"/>
  </si>
  <si>
    <t>이강호</t>
    <phoneticPr fontId="3" type="noConversion"/>
  </si>
  <si>
    <t>서영수</t>
    <phoneticPr fontId="3" type="noConversion"/>
  </si>
  <si>
    <t xml:space="preserve">[표5] </t>
    <phoneticPr fontId="3" type="noConversion"/>
  </si>
  <si>
    <t>9월 사원별 판매실적</t>
    <phoneticPr fontId="3" type="noConversion"/>
  </si>
  <si>
    <t>사원명</t>
    <phoneticPr fontId="3" type="noConversion"/>
  </si>
  <si>
    <t>소속지점</t>
    <phoneticPr fontId="3" type="noConversion"/>
  </si>
  <si>
    <t>TV</t>
    <phoneticPr fontId="3" type="noConversion"/>
  </si>
  <si>
    <t>컴퓨터</t>
    <phoneticPr fontId="3" type="noConversion"/>
  </si>
  <si>
    <t>이승엽</t>
    <phoneticPr fontId="3" type="noConversion"/>
  </si>
  <si>
    <t>서울</t>
    <phoneticPr fontId="3" type="noConversion"/>
  </si>
  <si>
    <t>김한수</t>
    <phoneticPr fontId="3" type="noConversion"/>
  </si>
  <si>
    <t>컴퓨터 평균판매수</t>
    <phoneticPr fontId="3" type="noConversion"/>
  </si>
  <si>
    <t>박재홍</t>
    <phoneticPr fontId="3" type="noConversion"/>
  </si>
  <si>
    <t>위재영</t>
    <phoneticPr fontId="3" type="noConversion"/>
  </si>
  <si>
    <t>광주</t>
    <phoneticPr fontId="3" type="noConversion"/>
  </si>
  <si>
    <t>이병규</t>
    <phoneticPr fontId="3" type="noConversion"/>
  </si>
  <si>
    <t>양준혁</t>
    <phoneticPr fontId="3" type="noConversion"/>
  </si>
  <si>
    <t>송진우</t>
    <phoneticPr fontId="3" type="noConversion"/>
  </si>
  <si>
    <t>조규수</t>
    <phoneticPr fontId="3" type="noConversion"/>
  </si>
  <si>
    <t>제품별 판매  현황</t>
    <phoneticPr fontId="3" type="noConversion"/>
  </si>
  <si>
    <r>
      <t xml:space="preserve">단위 </t>
    </r>
    <r>
      <rPr>
        <sz val="11"/>
        <color theme="1"/>
        <rFont val="맑은 고딕"/>
        <family val="3"/>
        <charset val="129"/>
        <scheme val="minor"/>
      </rPr>
      <t>: 천원</t>
    </r>
    <phoneticPr fontId="3" type="noConversion"/>
  </si>
  <si>
    <t>판매수량</t>
    <phoneticPr fontId="3" type="noConversion"/>
  </si>
  <si>
    <t>단가</t>
    <phoneticPr fontId="3" type="noConversion"/>
  </si>
  <si>
    <t>할인율</t>
    <phoneticPr fontId="3" type="noConversion"/>
  </si>
  <si>
    <t>구입원가</t>
    <phoneticPr fontId="3" type="noConversion"/>
  </si>
  <si>
    <t>총매출</t>
    <phoneticPr fontId="3" type="noConversion"/>
  </si>
  <si>
    <t>순이익</t>
    <phoneticPr fontId="3" type="noConversion"/>
  </si>
  <si>
    <r>
      <t>V</t>
    </r>
    <r>
      <rPr>
        <sz val="11"/>
        <color theme="1"/>
        <rFont val="맑은 고딕"/>
        <family val="3"/>
        <charset val="129"/>
        <scheme val="minor"/>
      </rPr>
      <t>TR</t>
    </r>
    <phoneticPr fontId="3" type="noConversion"/>
  </si>
  <si>
    <t>TV</t>
    <phoneticPr fontId="3" type="noConversion"/>
  </si>
  <si>
    <t>캠코더</t>
    <phoneticPr fontId="3" type="noConversion"/>
  </si>
  <si>
    <t>비디오</t>
    <phoneticPr fontId="3" type="noConversion"/>
  </si>
  <si>
    <t>카메라</t>
    <phoneticPr fontId="3" type="noConversion"/>
  </si>
  <si>
    <t>에어컨</t>
    <phoneticPr fontId="3" type="noConversion"/>
  </si>
  <si>
    <t>냉장고</t>
    <phoneticPr fontId="3" type="noConversion"/>
  </si>
  <si>
    <t>오디오</t>
    <phoneticPr fontId="3" type="noConversion"/>
  </si>
  <si>
    <t>전자레인지</t>
    <phoneticPr fontId="3" type="noConversion"/>
  </si>
  <si>
    <t>원가비율</t>
    <phoneticPr fontId="3" type="noConversion"/>
  </si>
  <si>
    <t>대출자금 월상환금액</t>
    <phoneticPr fontId="1" type="noConversion"/>
  </si>
  <si>
    <t>대출금</t>
    <phoneticPr fontId="3" type="noConversion"/>
  </si>
  <si>
    <t>연이율(%)</t>
    <phoneticPr fontId="3" type="noConversion"/>
  </si>
  <si>
    <t>대출기간(년)</t>
    <phoneticPr fontId="3" type="noConversion"/>
  </si>
  <si>
    <t>월상환액</t>
    <phoneticPr fontId="3" type="noConversion"/>
  </si>
  <si>
    <t>고객별 포인트 현황</t>
  </si>
  <si>
    <t>고객코드</t>
    <phoneticPr fontId="3" type="noConversion"/>
  </si>
  <si>
    <t>성명</t>
    <phoneticPr fontId="3" type="noConversion"/>
  </si>
  <si>
    <t>구매금액</t>
    <phoneticPr fontId="3" type="noConversion"/>
  </si>
  <si>
    <t>실적포인트</t>
    <phoneticPr fontId="3" type="noConversion"/>
  </si>
  <si>
    <t>거래수</t>
    <phoneticPr fontId="3" type="noConversion"/>
  </si>
  <si>
    <t>거래포인트</t>
    <phoneticPr fontId="3" type="noConversion"/>
  </si>
  <si>
    <t>AD201</t>
    <phoneticPr fontId="3" type="noConversion"/>
  </si>
  <si>
    <t>김민혜</t>
    <phoneticPr fontId="3" type="noConversion"/>
  </si>
  <si>
    <t>AD202</t>
  </si>
  <si>
    <t>이기훈</t>
    <phoneticPr fontId="3" type="noConversion"/>
  </si>
  <si>
    <t>AD203</t>
  </si>
  <si>
    <t>안달호</t>
    <phoneticPr fontId="3" type="noConversion"/>
  </si>
  <si>
    <t>AD204</t>
  </si>
  <si>
    <t>강두철</t>
    <phoneticPr fontId="3" type="noConversion"/>
  </si>
  <si>
    <t>AD205</t>
  </si>
  <si>
    <t>유정구</t>
    <phoneticPr fontId="3" type="noConversion"/>
  </si>
  <si>
    <t>AD206</t>
  </si>
  <si>
    <t>류한일</t>
    <phoneticPr fontId="3" type="noConversion"/>
  </si>
  <si>
    <t>AD207</t>
  </si>
  <si>
    <t>어용태</t>
    <phoneticPr fontId="3" type="noConversion"/>
  </si>
  <si>
    <t>평균</t>
    <phoneticPr fontId="3" type="noConversion"/>
  </si>
  <si>
    <t>사원 건강상태 기록표</t>
    <phoneticPr fontId="3" type="noConversion"/>
  </si>
  <si>
    <t>부서명</t>
    <phoneticPr fontId="3" type="noConversion"/>
  </si>
  <si>
    <t>작업복</t>
    <phoneticPr fontId="3" type="noConversion"/>
  </si>
  <si>
    <t>신장</t>
    <phoneticPr fontId="3" type="noConversion"/>
  </si>
  <si>
    <t>체중</t>
    <phoneticPr fontId="3" type="noConversion"/>
  </si>
  <si>
    <t>가슴둘레</t>
    <phoneticPr fontId="3" type="noConversion"/>
  </si>
  <si>
    <t>건강상태</t>
    <phoneticPr fontId="3" type="noConversion"/>
  </si>
  <si>
    <t>김철호</t>
    <phoneticPr fontId="3" type="noConversion"/>
  </si>
  <si>
    <t>XL</t>
    <phoneticPr fontId="3" type="noConversion"/>
  </si>
  <si>
    <t>양호</t>
    <phoneticPr fontId="3" type="noConversion"/>
  </si>
  <si>
    <t>생산부</t>
    <phoneticPr fontId="3" type="noConversion"/>
  </si>
  <si>
    <t>박명철</t>
    <phoneticPr fontId="3" type="noConversion"/>
  </si>
  <si>
    <t>EXL</t>
    <phoneticPr fontId="3" type="noConversion"/>
  </si>
  <si>
    <t>비만</t>
    <phoneticPr fontId="3" type="noConversion"/>
  </si>
  <si>
    <t>총무부</t>
    <phoneticPr fontId="3" type="noConversion"/>
  </si>
  <si>
    <t>이영숙</t>
    <phoneticPr fontId="3" type="noConversion"/>
  </si>
  <si>
    <t>M</t>
    <phoneticPr fontId="3" type="noConversion"/>
  </si>
  <si>
    <t>허약</t>
    <phoneticPr fontId="3" type="noConversion"/>
  </si>
  <si>
    <t>관리부</t>
    <phoneticPr fontId="3" type="noConversion"/>
  </si>
  <si>
    <t>최수영</t>
    <phoneticPr fontId="3" type="noConversion"/>
  </si>
  <si>
    <t>XXL</t>
    <phoneticPr fontId="3" type="noConversion"/>
  </si>
  <si>
    <t>양호</t>
    <phoneticPr fontId="3" type="noConversion"/>
  </si>
  <si>
    <t>생산부</t>
    <phoneticPr fontId="3" type="noConversion"/>
  </si>
  <si>
    <t>김만수</t>
    <phoneticPr fontId="3" type="noConversion"/>
  </si>
  <si>
    <t>XL</t>
    <phoneticPr fontId="3" type="noConversion"/>
  </si>
  <si>
    <t>양호</t>
    <phoneticPr fontId="3" type="noConversion"/>
  </si>
  <si>
    <t>총무부</t>
    <phoneticPr fontId="3" type="noConversion"/>
  </si>
  <si>
    <t>하철진</t>
    <phoneticPr fontId="3" type="noConversion"/>
  </si>
  <si>
    <t>EXL</t>
    <phoneticPr fontId="3" type="noConversion"/>
  </si>
  <si>
    <t>비만</t>
    <phoneticPr fontId="3" type="noConversion"/>
  </si>
  <si>
    <r>
      <t>[표</t>
    </r>
    <r>
      <rPr>
        <sz val="11"/>
        <color theme="1"/>
        <rFont val="맑은 고딕"/>
        <family val="3"/>
        <charset val="129"/>
        <scheme val="minor"/>
      </rPr>
      <t>4]</t>
    </r>
    <phoneticPr fontId="3" type="noConversion"/>
  </si>
  <si>
    <r>
      <t>(단위:천원</t>
    </r>
    <r>
      <rPr>
        <sz val="11"/>
        <color theme="1"/>
        <rFont val="맑은 고딕"/>
        <family val="3"/>
        <charset val="129"/>
        <scheme val="minor"/>
      </rPr>
      <t>)</t>
    </r>
    <phoneticPr fontId="3" type="noConversion"/>
  </si>
  <si>
    <t>상품 단가표</t>
    <phoneticPr fontId="3" type="noConversion"/>
  </si>
  <si>
    <t>상품명</t>
    <phoneticPr fontId="3" type="noConversion"/>
  </si>
  <si>
    <t>판매금액</t>
    <phoneticPr fontId="3" type="noConversion"/>
  </si>
  <si>
    <t>상품번호</t>
    <phoneticPr fontId="3" type="noConversion"/>
  </si>
  <si>
    <r>
      <t>INK</t>
    </r>
    <r>
      <rPr>
        <sz val="11"/>
        <rFont val="맑은 고딕"/>
        <family val="3"/>
        <charset val="129"/>
        <scheme val="minor"/>
      </rPr>
      <t>-</t>
    </r>
    <r>
      <rPr>
        <sz val="11"/>
        <color theme="1"/>
        <rFont val="맑은 고딕"/>
        <family val="3"/>
        <charset val="129"/>
        <scheme val="minor"/>
      </rPr>
      <t>1200</t>
    </r>
    <phoneticPr fontId="3" type="noConversion"/>
  </si>
  <si>
    <t>잉크젯A</t>
    <phoneticPr fontId="3" type="noConversion"/>
  </si>
  <si>
    <t>PRL-100</t>
    <phoneticPr fontId="3" type="noConversion"/>
  </si>
  <si>
    <t>레이저B</t>
    <phoneticPr fontId="3" type="noConversion"/>
  </si>
  <si>
    <t>INK-2000</t>
    <phoneticPr fontId="3" type="noConversion"/>
  </si>
  <si>
    <t>잉크젯A</t>
    <phoneticPr fontId="3" type="noConversion"/>
  </si>
  <si>
    <t>레이저C</t>
    <phoneticPr fontId="3" type="noConversion"/>
  </si>
  <si>
    <t>INK-3000</t>
    <phoneticPr fontId="1" type="noConversion"/>
  </si>
  <si>
    <t>잉크젯A</t>
    <phoneticPr fontId="3" type="noConversion"/>
  </si>
  <si>
    <t>PRL-200</t>
    <phoneticPr fontId="1" type="noConversion"/>
  </si>
  <si>
    <t>레이저B</t>
    <phoneticPr fontId="1" type="noConversion"/>
  </si>
  <si>
    <t>PRC-400</t>
    <phoneticPr fontId="1" type="noConversion"/>
  </si>
  <si>
    <t>레이저C</t>
    <phoneticPr fontId="3" type="noConversion"/>
  </si>
  <si>
    <t>PRL-300</t>
    <phoneticPr fontId="1" type="noConversion"/>
  </si>
  <si>
    <t>단가</t>
    <phoneticPr fontId="3" type="noConversion"/>
  </si>
  <si>
    <r>
      <t>I</t>
    </r>
    <r>
      <rPr>
        <sz val="11"/>
        <color theme="1"/>
        <rFont val="맑은 고딕"/>
        <family val="3"/>
        <charset val="129"/>
        <scheme val="minor"/>
      </rPr>
      <t>NK-A</t>
    </r>
    <phoneticPr fontId="3" type="noConversion"/>
  </si>
  <si>
    <r>
      <t>P</t>
    </r>
    <r>
      <rPr>
        <sz val="11"/>
        <color theme="1"/>
        <rFont val="맑은 고딕"/>
        <family val="3"/>
        <charset val="129"/>
        <scheme val="minor"/>
      </rPr>
      <t>RL-B</t>
    </r>
    <phoneticPr fontId="3" type="noConversion"/>
  </si>
  <si>
    <r>
      <t>P</t>
    </r>
    <r>
      <rPr>
        <sz val="11"/>
        <color theme="1"/>
        <rFont val="맑은 고딕"/>
        <family val="3"/>
        <charset val="129"/>
        <scheme val="minor"/>
      </rPr>
      <t>RC-C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</si>
</sst>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">
    <numFmt numFmtId="42" formatCode="_-&quot;₩&quot;* #,##0_-;\-&quot;₩&quot;* #,##0_-;_-&quot;₩&quot;* &quot;-&quot;_-;_-@_-"/>
    <numFmt numFmtId="41" formatCode="_-* #,##0_-;\-* #,##0_-;_-* &quot;-&quot;_-;_-@_-"/>
    <numFmt numFmtId="176" formatCode="0.0_ "/>
    <numFmt numFmtId="177" formatCode="yyyy&quot;年&quot;\ mm&quot;月&quot;\ dd&quot;日&quot;\ "/>
    <numFmt numFmtId="178" formatCode="mm\/dd"/>
    <numFmt numFmtId="179" formatCode="mm&quot;월&quot;\ dd&quot;일&quot;"/>
    <numFmt numFmtId="180" formatCode="#,##0_);[Red]\(#,##0\)"/>
    <numFmt numFmtId="181" formatCode="#,##0_ "/>
    <numFmt numFmtId="182" formatCode="yyyy&quot;年&quot;\ mm&quot;月&quot;\ dd&quot;日&quot;\ &quot;현&quot;&quot;재&quot;"/>
    <numFmt numFmtId="183" formatCode="###.0\ &quot;%&quot;"/>
    <numFmt numFmtId="184" formatCode="###\ &quot;년&quot;"/>
  </numFmts>
  <fonts count="12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6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4"/>
      <name val="맑은 고딕"/>
      <family val="3"/>
      <charset val="129"/>
      <scheme val="minor"/>
    </font>
    <font>
      <i/>
      <sz val="11"/>
      <name val="맑은 고딕"/>
      <family val="3"/>
      <charset val="129"/>
      <scheme val="minor"/>
    </font>
    <font>
      <b/>
      <sz val="16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</borders>
  <cellStyleXfs count="4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2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77">
    <xf numFmtId="0" fontId="0" fillId="0" borderId="0" xfId="0">
      <alignment vertical="center"/>
    </xf>
    <xf numFmtId="0" fontId="0" fillId="0" borderId="0" xfId="0" applyNumberFormat="1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5" fillId="0" borderId="0" xfId="0" applyNumberFormat="1" applyFont="1" applyAlignment="1">
      <alignment vertical="center"/>
    </xf>
    <xf numFmtId="176" fontId="4" fillId="0" borderId="0" xfId="0" applyNumberFormat="1" applyFont="1" applyAlignment="1">
      <alignment vertical="center"/>
    </xf>
    <xf numFmtId="0" fontId="4" fillId="0" borderId="0" xfId="0" applyNumberFormat="1" applyFont="1" applyAlignment="1">
      <alignment vertical="center"/>
    </xf>
    <xf numFmtId="0" fontId="4" fillId="0" borderId="0" xfId="0" applyFont="1" applyFill="1" applyBorder="1" applyAlignment="1">
      <alignment vertical="center"/>
    </xf>
    <xf numFmtId="0" fontId="4" fillId="0" borderId="0" xfId="0" applyNumberFormat="1" applyFont="1" applyFill="1" applyBorder="1" applyAlignment="1">
      <alignment vertical="center"/>
    </xf>
    <xf numFmtId="176" fontId="4" fillId="0" borderId="0" xfId="0" applyNumberFormat="1" applyFont="1" applyFill="1" applyBorder="1" applyAlignment="1">
      <alignment vertical="center"/>
    </xf>
    <xf numFmtId="0" fontId="5" fillId="0" borderId="2" xfId="0" applyFont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41" fontId="4" fillId="0" borderId="2" xfId="1" applyFont="1" applyFill="1" applyBorder="1" applyAlignment="1">
      <alignment horizontal="center" vertical="center"/>
    </xf>
    <xf numFmtId="178" fontId="4" fillId="0" borderId="2" xfId="0" applyNumberFormat="1" applyFont="1" applyFill="1" applyBorder="1" applyAlignment="1">
      <alignment horizontal="center" vertical="center"/>
    </xf>
    <xf numFmtId="16" fontId="4" fillId="0" borderId="2" xfId="0" applyNumberFormat="1" applyFont="1" applyFill="1" applyBorder="1" applyAlignment="1">
      <alignment horizontal="center" vertical="center"/>
    </xf>
    <xf numFmtId="0" fontId="4" fillId="0" borderId="2" xfId="3" applyNumberFormat="1" applyFont="1" applyFill="1" applyBorder="1" applyAlignment="1">
      <alignment horizontal="center" vertical="center"/>
    </xf>
    <xf numFmtId="0" fontId="4" fillId="0" borderId="2" xfId="0" applyNumberFormat="1" applyFont="1" applyFill="1" applyBorder="1" applyAlignment="1">
      <alignment horizontal="center" vertical="center"/>
    </xf>
    <xf numFmtId="0" fontId="4" fillId="0" borderId="2" xfId="1" applyNumberFormat="1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2" xfId="2" applyNumberFormat="1" applyFont="1" applyFill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4" fillId="0" borderId="0" xfId="0" applyFont="1" applyAlignment="1">
      <alignment horizontal="left" vertical="center"/>
    </xf>
    <xf numFmtId="3" fontId="5" fillId="0" borderId="2" xfId="0" applyNumberFormat="1" applyFont="1" applyBorder="1" applyAlignment="1">
      <alignment horizontal="center" vertical="center"/>
    </xf>
    <xf numFmtId="0" fontId="5" fillId="0" borderId="2" xfId="0" applyNumberFormat="1" applyFont="1" applyBorder="1" applyAlignment="1">
      <alignment horizontal="center" vertical="center"/>
    </xf>
    <xf numFmtId="0" fontId="5" fillId="0" borderId="2" xfId="0" applyFont="1" applyBorder="1" applyAlignment="1">
      <alignment horizontal="right" vertical="center"/>
    </xf>
    <xf numFmtId="0" fontId="5" fillId="0" borderId="2" xfId="0" applyFont="1" applyFill="1" applyBorder="1" applyAlignment="1">
      <alignment horizontal="center" vertical="center"/>
    </xf>
    <xf numFmtId="0" fontId="5" fillId="0" borderId="2" xfId="0" applyFont="1" applyFill="1" applyBorder="1" applyAlignment="1">
      <alignment horizontal="right" vertical="center"/>
    </xf>
    <xf numFmtId="0" fontId="4" fillId="0" borderId="0" xfId="0" applyFont="1" applyFill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179" fontId="5" fillId="0" borderId="2" xfId="0" applyNumberFormat="1" applyFont="1" applyFill="1" applyBorder="1" applyAlignment="1">
      <alignment horizontal="center" vertical="center"/>
    </xf>
    <xf numFmtId="3" fontId="4" fillId="0" borderId="2" xfId="0" applyNumberFormat="1" applyFont="1" applyFill="1" applyBorder="1" applyAlignment="1">
      <alignment horizontal="right" vertical="center"/>
    </xf>
    <xf numFmtId="0" fontId="4" fillId="0" borderId="2" xfId="0" applyNumberFormat="1" applyFont="1" applyBorder="1" applyAlignment="1">
      <alignment horizontal="center" vertical="center"/>
    </xf>
    <xf numFmtId="181" fontId="4" fillId="0" borderId="2" xfId="1" applyNumberFormat="1" applyFont="1" applyBorder="1" applyAlignment="1">
      <alignment horizontal="center" vertical="center"/>
    </xf>
    <xf numFmtId="0" fontId="4" fillId="0" borderId="2" xfId="0" applyFont="1" applyFill="1" applyBorder="1" applyAlignment="1">
      <alignment horizontal="right" vertical="center"/>
    </xf>
    <xf numFmtId="0" fontId="4" fillId="0" borderId="2" xfId="0" applyFont="1" applyBorder="1" applyAlignment="1">
      <alignment vertical="center"/>
    </xf>
    <xf numFmtId="0" fontId="5" fillId="0" borderId="2" xfId="0" applyFont="1" applyBorder="1" applyAlignment="1">
      <alignment vertical="center"/>
    </xf>
    <xf numFmtId="0" fontId="5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0" borderId="0" xfId="0" applyFont="1" applyAlignment="1">
      <alignment horizontal="right" vertical="center"/>
    </xf>
    <xf numFmtId="41" fontId="4" fillId="0" borderId="2" xfId="1" applyFont="1" applyFill="1" applyBorder="1" applyAlignment="1">
      <alignment vertical="center"/>
    </xf>
    <xf numFmtId="9" fontId="4" fillId="0" borderId="2" xfId="3" applyFont="1" applyFill="1" applyBorder="1" applyAlignment="1">
      <alignment vertical="center"/>
    </xf>
    <xf numFmtId="41" fontId="4" fillId="0" borderId="2" xfId="0" applyNumberFormat="1" applyFont="1" applyFill="1" applyBorder="1" applyAlignment="1">
      <alignment horizontal="center" vertical="center"/>
    </xf>
    <xf numFmtId="41" fontId="4" fillId="0" borderId="3" xfId="1" applyFont="1" applyFill="1" applyBorder="1" applyAlignment="1">
      <alignment horizontal="center" vertical="center"/>
    </xf>
    <xf numFmtId="14" fontId="4" fillId="0" borderId="3" xfId="0" applyNumberFormat="1" applyFont="1" applyFill="1" applyBorder="1" applyAlignment="1">
      <alignment horizontal="center" vertical="center"/>
    </xf>
    <xf numFmtId="14" fontId="10" fillId="0" borderId="0" xfId="0" applyNumberFormat="1" applyFont="1" applyFill="1" applyBorder="1" applyAlignment="1">
      <alignment horizontal="left" vertical="center"/>
    </xf>
    <xf numFmtId="41" fontId="4" fillId="0" borderId="0" xfId="1" applyFont="1" applyFill="1" applyBorder="1" applyAlignment="1">
      <alignment vertical="center"/>
    </xf>
    <xf numFmtId="9" fontId="4" fillId="0" borderId="2" xfId="0" applyNumberFormat="1" applyFont="1" applyBorder="1" applyAlignment="1">
      <alignment vertical="center"/>
    </xf>
    <xf numFmtId="14" fontId="4" fillId="0" borderId="0" xfId="0" applyNumberFormat="1" applyFont="1" applyFill="1" applyBorder="1" applyAlignment="1">
      <alignment horizontal="center" vertical="center"/>
    </xf>
    <xf numFmtId="9" fontId="10" fillId="0" borderId="0" xfId="0" applyNumberFormat="1" applyFont="1" applyAlignment="1">
      <alignment vertical="center"/>
    </xf>
    <xf numFmtId="0" fontId="5" fillId="0" borderId="0" xfId="0" applyFont="1" applyFill="1" applyBorder="1" applyAlignment="1">
      <alignment horizontal="center" vertical="center"/>
    </xf>
    <xf numFmtId="0" fontId="5" fillId="0" borderId="2" xfId="0" applyFont="1" applyFill="1" applyBorder="1" applyAlignment="1">
      <alignment vertical="center"/>
    </xf>
    <xf numFmtId="41" fontId="5" fillId="0" borderId="2" xfId="0" applyNumberFormat="1" applyFont="1" applyBorder="1" applyAlignment="1">
      <alignment vertical="center"/>
    </xf>
    <xf numFmtId="0" fontId="5" fillId="0" borderId="0" xfId="0" applyFont="1" applyFill="1" applyAlignment="1">
      <alignment vertical="center"/>
    </xf>
    <xf numFmtId="183" fontId="5" fillId="0" borderId="2" xfId="0" applyNumberFormat="1" applyFont="1" applyFill="1" applyBorder="1" applyAlignment="1">
      <alignment horizontal="center" vertical="center"/>
    </xf>
    <xf numFmtId="184" fontId="5" fillId="0" borderId="2" xfId="0" applyNumberFormat="1" applyFont="1" applyFill="1" applyBorder="1" applyAlignment="1">
      <alignment horizontal="center" vertical="center"/>
    </xf>
    <xf numFmtId="38" fontId="5" fillId="0" borderId="2" xfId="0" applyNumberFormat="1" applyFont="1" applyFill="1" applyBorder="1" applyAlignment="1">
      <alignment horizontal="center" vertical="center"/>
    </xf>
    <xf numFmtId="0" fontId="8" fillId="0" borderId="0" xfId="0" applyFont="1" applyBorder="1" applyAlignment="1">
      <alignment vertical="center"/>
    </xf>
    <xf numFmtId="0" fontId="5" fillId="0" borderId="0" xfId="0" applyFont="1" applyBorder="1" applyAlignment="1">
      <alignment vertical="center"/>
    </xf>
    <xf numFmtId="41" fontId="5" fillId="0" borderId="2" xfId="0" applyNumberFormat="1" applyFont="1" applyFill="1" applyBorder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7" fillId="0" borderId="0" xfId="0" applyFont="1" applyFill="1" applyAlignment="1">
      <alignment vertical="center"/>
    </xf>
    <xf numFmtId="0" fontId="4" fillId="0" borderId="2" xfId="1" applyNumberFormat="1" applyFont="1" applyFill="1" applyBorder="1" applyAlignment="1">
      <alignment vertical="center"/>
    </xf>
    <xf numFmtId="0" fontId="5" fillId="0" borderId="3" xfId="0" applyFont="1" applyFill="1" applyBorder="1" applyAlignment="1">
      <alignment horizontal="center" vertical="center"/>
    </xf>
    <xf numFmtId="41" fontId="5" fillId="0" borderId="2" xfId="0" applyNumberFormat="1" applyFont="1" applyFill="1" applyBorder="1" applyAlignment="1">
      <alignment vertical="center"/>
    </xf>
    <xf numFmtId="0" fontId="5" fillId="0" borderId="2" xfId="0" applyFont="1" applyBorder="1" applyAlignment="1">
      <alignment horizontal="center" vertical="center"/>
    </xf>
    <xf numFmtId="0" fontId="5" fillId="0" borderId="2" xfId="0" applyFont="1" applyFill="1" applyBorder="1" applyAlignment="1">
      <alignment horizontal="center" vertical="center"/>
    </xf>
    <xf numFmtId="180" fontId="4" fillId="0" borderId="2" xfId="1" applyNumberFormat="1" applyFont="1" applyBorder="1" applyAlignment="1">
      <alignment horizontal="right" vertical="center"/>
    </xf>
    <xf numFmtId="0" fontId="6" fillId="0" borderId="0" xfId="0" applyFont="1" applyAlignment="1">
      <alignment horizontal="center" vertical="center"/>
    </xf>
    <xf numFmtId="177" fontId="4" fillId="0" borderId="1" xfId="0" applyNumberFormat="1" applyFont="1" applyBorder="1" applyAlignment="1">
      <alignment horizontal="left" vertical="center"/>
    </xf>
    <xf numFmtId="0" fontId="5" fillId="2" borderId="2" xfId="0" applyFont="1" applyFill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182" fontId="4" fillId="0" borderId="1" xfId="0" applyNumberFormat="1" applyFont="1" applyBorder="1" applyAlignment="1">
      <alignment horizontal="left" vertical="center"/>
    </xf>
    <xf numFmtId="0" fontId="5" fillId="0" borderId="2" xfId="0" applyFont="1" applyFill="1" applyBorder="1" applyAlignment="1">
      <alignment horizontal="center" vertical="center"/>
    </xf>
    <xf numFmtId="42" fontId="11" fillId="0" borderId="0" xfId="2" applyFont="1" applyAlignment="1">
      <alignment horizontal="center" vertical="center"/>
    </xf>
  </cellXfs>
  <cellStyles count="4">
    <cellStyle name="백분율" xfId="3" builtinId="5"/>
    <cellStyle name="쉼표 [0]" xfId="1" builtinId="6"/>
    <cellStyle name="통화 [0]" xfId="2" builtinId="7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차트작업!$D$3</c:f>
              <c:strCache>
                <c:ptCount val="1"/>
                <c:pt idx="0">
                  <c:v>신장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차트작업!$A$4:$B$9</c:f>
              <c:multiLvlStrCache>
                <c:ptCount val="6"/>
                <c:lvl>
                  <c:pt idx="0">
                    <c:v>김철호</c:v>
                  </c:pt>
                  <c:pt idx="1">
                    <c:v>박명철</c:v>
                  </c:pt>
                  <c:pt idx="2">
                    <c:v>이영숙</c:v>
                  </c:pt>
                  <c:pt idx="3">
                    <c:v>최수영</c:v>
                  </c:pt>
                  <c:pt idx="4">
                    <c:v>김만수</c:v>
                  </c:pt>
                  <c:pt idx="5">
                    <c:v>하철진</c:v>
                  </c:pt>
                </c:lvl>
                <c:lvl>
                  <c:pt idx="0">
                    <c:v>관리부</c:v>
                  </c:pt>
                  <c:pt idx="1">
                    <c:v>생산부</c:v>
                  </c:pt>
                  <c:pt idx="2">
                    <c:v>총무부</c:v>
                  </c:pt>
                  <c:pt idx="3">
                    <c:v>관리부</c:v>
                  </c:pt>
                  <c:pt idx="4">
                    <c:v>생산부</c:v>
                  </c:pt>
                  <c:pt idx="5">
                    <c:v>총무부</c:v>
                  </c:pt>
                </c:lvl>
              </c:multiLvlStrCache>
            </c:multiLvlStrRef>
          </c:cat>
          <c:val>
            <c:numRef>
              <c:f>차트작업!$D$4:$D$9</c:f>
              <c:numCache>
                <c:formatCode>General</c:formatCode>
                <c:ptCount val="6"/>
                <c:pt idx="0">
                  <c:v>170</c:v>
                </c:pt>
                <c:pt idx="1">
                  <c:v>175</c:v>
                </c:pt>
                <c:pt idx="2">
                  <c:v>162</c:v>
                </c:pt>
                <c:pt idx="3">
                  <c:v>177</c:v>
                </c:pt>
                <c:pt idx="4">
                  <c:v>172</c:v>
                </c:pt>
                <c:pt idx="5">
                  <c:v>168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27-434A-9AE2-EFDFC040BCC1}"/>
            </c:ext>
          </c:extLst>
        </c:ser>
        <c:ser>
          <c:idx val="1"/>
          <c:order val="1"/>
          <c:tx>
            <c:strRef>
              <c:f>차트작업!$E$3</c:f>
              <c:strCache>
                <c:ptCount val="1"/>
                <c:pt idx="0">
                  <c:v>체중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차트작업!$A$4:$B$9</c:f>
              <c:multiLvlStrCache>
                <c:ptCount val="6"/>
                <c:lvl>
                  <c:pt idx="0">
                    <c:v>김철호</c:v>
                  </c:pt>
                  <c:pt idx="1">
                    <c:v>박명철</c:v>
                  </c:pt>
                  <c:pt idx="2">
                    <c:v>이영숙</c:v>
                  </c:pt>
                  <c:pt idx="3">
                    <c:v>최수영</c:v>
                  </c:pt>
                  <c:pt idx="4">
                    <c:v>김만수</c:v>
                  </c:pt>
                  <c:pt idx="5">
                    <c:v>하철진</c:v>
                  </c:pt>
                </c:lvl>
                <c:lvl>
                  <c:pt idx="0">
                    <c:v>관리부</c:v>
                  </c:pt>
                  <c:pt idx="1">
                    <c:v>생산부</c:v>
                  </c:pt>
                  <c:pt idx="2">
                    <c:v>총무부</c:v>
                  </c:pt>
                  <c:pt idx="3">
                    <c:v>관리부</c:v>
                  </c:pt>
                  <c:pt idx="4">
                    <c:v>생산부</c:v>
                  </c:pt>
                  <c:pt idx="5">
                    <c:v>총무부</c:v>
                  </c:pt>
                </c:lvl>
              </c:multiLvlStrCache>
            </c:multiLvlStrRef>
          </c:cat>
          <c:val>
            <c:numRef>
              <c:f>차트작업!$E$4:$E$9</c:f>
              <c:numCache>
                <c:formatCode>General</c:formatCode>
                <c:ptCount val="6"/>
                <c:pt idx="0">
                  <c:v>65</c:v>
                </c:pt>
                <c:pt idx="1">
                  <c:v>95</c:v>
                </c:pt>
                <c:pt idx="2">
                  <c:v>48</c:v>
                </c:pt>
                <c:pt idx="3">
                  <c:v>72</c:v>
                </c:pt>
                <c:pt idx="4">
                  <c:v>68</c:v>
                </c:pt>
                <c:pt idx="5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B27-434A-9AE2-EFDFC040BCC1}"/>
            </c:ext>
          </c:extLst>
        </c:ser>
        <c:ser>
          <c:idx val="2"/>
          <c:order val="2"/>
          <c:tx>
            <c:strRef>
              <c:f>차트작업!$F$3</c:f>
              <c:strCache>
                <c:ptCount val="1"/>
                <c:pt idx="0">
                  <c:v>가슴둘레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차트작업!$A$4:$B$9</c:f>
              <c:multiLvlStrCache>
                <c:ptCount val="6"/>
                <c:lvl>
                  <c:pt idx="0">
                    <c:v>김철호</c:v>
                  </c:pt>
                  <c:pt idx="1">
                    <c:v>박명철</c:v>
                  </c:pt>
                  <c:pt idx="2">
                    <c:v>이영숙</c:v>
                  </c:pt>
                  <c:pt idx="3">
                    <c:v>최수영</c:v>
                  </c:pt>
                  <c:pt idx="4">
                    <c:v>김만수</c:v>
                  </c:pt>
                  <c:pt idx="5">
                    <c:v>하철진</c:v>
                  </c:pt>
                </c:lvl>
                <c:lvl>
                  <c:pt idx="0">
                    <c:v>관리부</c:v>
                  </c:pt>
                  <c:pt idx="1">
                    <c:v>생산부</c:v>
                  </c:pt>
                  <c:pt idx="2">
                    <c:v>총무부</c:v>
                  </c:pt>
                  <c:pt idx="3">
                    <c:v>관리부</c:v>
                  </c:pt>
                  <c:pt idx="4">
                    <c:v>생산부</c:v>
                  </c:pt>
                  <c:pt idx="5">
                    <c:v>총무부</c:v>
                  </c:pt>
                </c:lvl>
              </c:multiLvlStrCache>
            </c:multiLvlStrRef>
          </c:cat>
          <c:val>
            <c:numRef>
              <c:f>차트작업!$F$4:$F$9</c:f>
              <c:numCache>
                <c:formatCode>General</c:formatCode>
                <c:ptCount val="6"/>
                <c:pt idx="0">
                  <c:v>95</c:v>
                </c:pt>
                <c:pt idx="1">
                  <c:v>120</c:v>
                </c:pt>
                <c:pt idx="2">
                  <c:v>80</c:v>
                </c:pt>
                <c:pt idx="3">
                  <c:v>110</c:v>
                </c:pt>
                <c:pt idx="4">
                  <c:v>100</c:v>
                </c:pt>
                <c:pt idx="5">
                  <c:v>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B27-434A-9AE2-EFDFC040BC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832746592"/>
        <c:axId val="832751584"/>
      </c:barChart>
      <c:catAx>
        <c:axId val="832746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32751584"/>
        <c:crosses val="autoZero"/>
        <c:auto val="1"/>
        <c:lblAlgn val="ctr"/>
        <c:lblOffset val="100"/>
        <c:noMultiLvlLbl val="0"/>
      </c:catAx>
      <c:valAx>
        <c:axId val="83275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32746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10</xdr:col>
      <xdr:colOff>0</xdr:colOff>
      <xdr:row>27</xdr:row>
      <xdr:rowOff>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workbookViewId="0"/>
  </sheetViews>
  <sheetFormatPr defaultRowHeight="17.600000000000001"/>
  <sheetData>
    <row r="1" spans="1:1">
      <c r="A1" s="1" t="s">
        <v>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H13"/>
  <sheetViews>
    <sheetView workbookViewId="0"/>
  </sheetViews>
  <sheetFormatPr defaultRowHeight="17.600000000000001"/>
  <sheetData>
    <row r="1" spans="2:8">
      <c r="B1" s="2" t="s">
        <v>1</v>
      </c>
      <c r="C1" s="3"/>
      <c r="D1" s="3"/>
      <c r="E1" s="3"/>
      <c r="F1" s="3"/>
      <c r="G1" s="3"/>
      <c r="H1" s="3"/>
    </row>
    <row r="2" spans="2:8">
      <c r="B2" s="2"/>
      <c r="C2" s="3"/>
      <c r="D2" s="3"/>
      <c r="E2" s="3"/>
      <c r="F2" s="3"/>
      <c r="G2" s="3"/>
      <c r="H2" s="3"/>
    </row>
    <row r="3" spans="2:8">
      <c r="B3" s="4" t="s">
        <v>2</v>
      </c>
      <c r="C3" s="4" t="s">
        <v>3</v>
      </c>
      <c r="D3" s="4" t="s">
        <v>4</v>
      </c>
      <c r="E3" s="4" t="s">
        <v>5</v>
      </c>
      <c r="F3" s="4" t="s">
        <v>6</v>
      </c>
      <c r="G3" s="4" t="s">
        <v>7</v>
      </c>
      <c r="H3" s="4" t="s">
        <v>8</v>
      </c>
    </row>
    <row r="4" spans="2:8">
      <c r="B4" s="4" t="s">
        <v>9</v>
      </c>
      <c r="C4" s="4" t="s">
        <v>10</v>
      </c>
      <c r="D4" s="4">
        <v>12000</v>
      </c>
      <c r="E4" s="4">
        <v>15500</v>
      </c>
      <c r="F4" s="4">
        <v>14200</v>
      </c>
      <c r="G4" s="3">
        <v>41700</v>
      </c>
      <c r="H4" s="5">
        <v>13900</v>
      </c>
    </row>
    <row r="5" spans="2:8">
      <c r="B5" s="4" t="s">
        <v>11</v>
      </c>
      <c r="C5" s="4" t="s">
        <v>12</v>
      </c>
      <c r="D5" s="4">
        <v>8900</v>
      </c>
      <c r="E5" s="4">
        <v>12400</v>
      </c>
      <c r="F5" s="4">
        <v>13200</v>
      </c>
      <c r="G5" s="3">
        <v>34500</v>
      </c>
      <c r="H5" s="5">
        <v>11500</v>
      </c>
    </row>
    <row r="6" spans="2:8">
      <c r="B6" s="4" t="s">
        <v>13</v>
      </c>
      <c r="C6" s="4" t="s">
        <v>14</v>
      </c>
      <c r="D6" s="4">
        <v>9500</v>
      </c>
      <c r="E6" s="4">
        <v>13200</v>
      </c>
      <c r="F6" s="4">
        <v>11000</v>
      </c>
      <c r="G6" s="3">
        <v>33700</v>
      </c>
      <c r="H6" s="5">
        <v>11233.333333333334</v>
      </c>
    </row>
    <row r="7" spans="2:8">
      <c r="B7" s="4" t="s">
        <v>11</v>
      </c>
      <c r="C7" s="4" t="s">
        <v>15</v>
      </c>
      <c r="D7" s="4">
        <v>11000</v>
      </c>
      <c r="E7" s="4">
        <v>12000</v>
      </c>
      <c r="F7" s="4">
        <v>11500</v>
      </c>
      <c r="G7" s="3">
        <v>34500</v>
      </c>
      <c r="H7" s="5">
        <v>11500</v>
      </c>
    </row>
    <row r="8" spans="2:8">
      <c r="B8" s="6" t="s">
        <v>11</v>
      </c>
      <c r="C8" s="4" t="s">
        <v>16</v>
      </c>
      <c r="D8" s="4">
        <v>7500</v>
      </c>
      <c r="E8" s="4">
        <v>8300</v>
      </c>
      <c r="F8" s="4">
        <v>9000</v>
      </c>
      <c r="G8" s="3">
        <v>24800</v>
      </c>
      <c r="H8" s="5">
        <v>8266.6666666666661</v>
      </c>
    </row>
    <row r="9" spans="2:8">
      <c r="B9" s="4" t="s">
        <v>13</v>
      </c>
      <c r="C9" s="4" t="s">
        <v>17</v>
      </c>
      <c r="D9" s="4">
        <v>4500</v>
      </c>
      <c r="E9" s="4">
        <v>5200</v>
      </c>
      <c r="F9" s="4">
        <v>5300</v>
      </c>
      <c r="G9" s="3">
        <v>15000</v>
      </c>
      <c r="H9" s="5">
        <v>5000</v>
      </c>
    </row>
    <row r="10" spans="2:8">
      <c r="B10" s="4" t="s">
        <v>11</v>
      </c>
      <c r="C10" s="4" t="s">
        <v>18</v>
      </c>
      <c r="D10" s="4">
        <v>11500</v>
      </c>
      <c r="E10" s="4">
        <v>14200</v>
      </c>
      <c r="F10" s="4">
        <v>13800</v>
      </c>
      <c r="G10" s="3">
        <v>39500</v>
      </c>
      <c r="H10" s="5">
        <v>13166.666666666666</v>
      </c>
    </row>
    <row r="11" spans="2:8">
      <c r="B11" s="4" t="s">
        <v>13</v>
      </c>
      <c r="C11" s="4" t="s">
        <v>19</v>
      </c>
      <c r="D11" s="4">
        <v>4000</v>
      </c>
      <c r="E11" s="4">
        <v>4500</v>
      </c>
      <c r="F11" s="4">
        <v>4300</v>
      </c>
      <c r="G11" s="3">
        <v>12800</v>
      </c>
      <c r="H11" s="5">
        <v>4266.666666666667</v>
      </c>
    </row>
    <row r="12" spans="2:8">
      <c r="B12" s="4" t="s">
        <v>20</v>
      </c>
      <c r="C12" s="4"/>
      <c r="D12" s="7">
        <v>68900</v>
      </c>
      <c r="E12" s="7">
        <v>85300</v>
      </c>
      <c r="F12" s="7">
        <v>82300</v>
      </c>
      <c r="G12" s="7">
        <v>236500</v>
      </c>
      <c r="H12" s="7"/>
    </row>
    <row r="13" spans="2:8">
      <c r="B13" s="6" t="s">
        <v>8</v>
      </c>
      <c r="C13" s="8"/>
      <c r="D13" s="7">
        <v>8612.5</v>
      </c>
      <c r="E13" s="7">
        <v>10662.5</v>
      </c>
      <c r="F13" s="7">
        <v>10287.5</v>
      </c>
      <c r="G13" s="7"/>
      <c r="H13" s="9">
        <v>9854.1666666666661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5"/>
  <sheetViews>
    <sheetView workbookViewId="0"/>
  </sheetViews>
  <sheetFormatPr defaultRowHeight="17.600000000000001"/>
  <sheetData>
    <row r="1" spans="1:9" ht="23.6">
      <c r="A1" s="68" t="s">
        <v>21</v>
      </c>
      <c r="B1" s="68"/>
      <c r="C1" s="68"/>
      <c r="D1" s="68"/>
      <c r="E1" s="68"/>
      <c r="F1" s="68"/>
      <c r="G1" s="68"/>
      <c r="H1" s="68"/>
      <c r="I1" s="68"/>
    </row>
    <row r="2" spans="1:9">
      <c r="A2" s="69"/>
      <c r="B2" s="69"/>
      <c r="C2" s="69"/>
      <c r="D2" s="2"/>
      <c r="E2" s="2"/>
      <c r="F2" s="2"/>
      <c r="G2" s="2"/>
      <c r="H2" s="2"/>
      <c r="I2" s="2"/>
    </row>
    <row r="3" spans="1:9">
      <c r="A3" s="10" t="s">
        <v>22</v>
      </c>
      <c r="B3" s="11" t="s">
        <v>23</v>
      </c>
      <c r="C3" s="11" t="s">
        <v>24</v>
      </c>
      <c r="D3" s="11" t="s">
        <v>25</v>
      </c>
      <c r="E3" s="11" t="s">
        <v>26</v>
      </c>
      <c r="F3" s="12" t="s">
        <v>27</v>
      </c>
      <c r="G3" s="11" t="s">
        <v>28</v>
      </c>
      <c r="H3" s="11" t="s">
        <v>29</v>
      </c>
      <c r="I3" s="11" t="s">
        <v>30</v>
      </c>
    </row>
    <row r="4" spans="1:9">
      <c r="A4" s="13" t="s">
        <v>31</v>
      </c>
      <c r="B4" s="13" t="s">
        <v>32</v>
      </c>
      <c r="C4" s="14" t="s">
        <v>33</v>
      </c>
      <c r="D4" s="15">
        <v>18</v>
      </c>
      <c r="E4" s="15">
        <v>1</v>
      </c>
      <c r="F4" s="15">
        <v>8</v>
      </c>
      <c r="G4" s="16">
        <v>38</v>
      </c>
      <c r="H4" s="17">
        <v>23</v>
      </c>
      <c r="I4" s="16">
        <v>78</v>
      </c>
    </row>
    <row r="5" spans="1:9">
      <c r="A5" s="13" t="s">
        <v>34</v>
      </c>
      <c r="B5" s="13" t="s">
        <v>35</v>
      </c>
      <c r="C5" s="16" t="s">
        <v>36</v>
      </c>
      <c r="D5" s="15">
        <v>5</v>
      </c>
      <c r="E5" s="15">
        <v>0</v>
      </c>
      <c r="F5" s="15">
        <v>3</v>
      </c>
      <c r="G5" s="16">
        <v>40</v>
      </c>
      <c r="H5" s="17">
        <v>40</v>
      </c>
      <c r="I5" s="16">
        <v>93</v>
      </c>
    </row>
    <row r="6" spans="1:9">
      <c r="A6" s="13" t="s">
        <v>37</v>
      </c>
      <c r="B6" s="13" t="s">
        <v>38</v>
      </c>
      <c r="C6" s="16" t="s">
        <v>33</v>
      </c>
      <c r="D6" s="15">
        <v>3</v>
      </c>
      <c r="E6" s="15">
        <v>5</v>
      </c>
      <c r="F6" s="15">
        <v>2</v>
      </c>
      <c r="G6" s="16">
        <v>35</v>
      </c>
      <c r="H6" s="17">
        <v>34</v>
      </c>
      <c r="I6" s="16">
        <v>76</v>
      </c>
    </row>
    <row r="7" spans="1:9">
      <c r="A7" s="13" t="s">
        <v>39</v>
      </c>
      <c r="B7" s="13" t="s">
        <v>40</v>
      </c>
      <c r="C7" s="16" t="s">
        <v>41</v>
      </c>
      <c r="D7" s="15">
        <v>11</v>
      </c>
      <c r="E7" s="15">
        <v>3</v>
      </c>
      <c r="F7" s="15">
        <v>6</v>
      </c>
      <c r="G7" s="16">
        <v>30</v>
      </c>
      <c r="H7" s="17">
        <v>40</v>
      </c>
      <c r="I7" s="16">
        <v>83</v>
      </c>
    </row>
    <row r="8" spans="1:9">
      <c r="A8" s="13" t="s">
        <v>42</v>
      </c>
      <c r="B8" s="13" t="s">
        <v>43</v>
      </c>
      <c r="C8" s="16" t="s">
        <v>44</v>
      </c>
      <c r="D8" s="15">
        <v>24</v>
      </c>
      <c r="E8" s="15">
        <v>0</v>
      </c>
      <c r="F8" s="15">
        <v>9</v>
      </c>
      <c r="G8" s="16">
        <v>39</v>
      </c>
      <c r="H8" s="17">
        <v>36</v>
      </c>
      <c r="I8" s="16">
        <v>94</v>
      </c>
    </row>
    <row r="9" spans="1:9">
      <c r="A9" s="13" t="s">
        <v>45</v>
      </c>
      <c r="B9" s="13" t="s">
        <v>46</v>
      </c>
      <c r="C9" s="16" t="s">
        <v>41</v>
      </c>
      <c r="D9" s="15">
        <v>34</v>
      </c>
      <c r="E9" s="15">
        <v>1</v>
      </c>
      <c r="F9" s="15">
        <v>10</v>
      </c>
      <c r="G9" s="16">
        <v>33</v>
      </c>
      <c r="H9" s="17">
        <v>40</v>
      </c>
      <c r="I9" s="16">
        <v>92</v>
      </c>
    </row>
    <row r="10" spans="1:9">
      <c r="A10" s="13" t="s">
        <v>42</v>
      </c>
      <c r="B10" s="13" t="s">
        <v>47</v>
      </c>
      <c r="C10" s="16" t="s">
        <v>48</v>
      </c>
      <c r="D10" s="15">
        <v>7</v>
      </c>
      <c r="E10" s="15">
        <v>5</v>
      </c>
      <c r="F10" s="15">
        <v>6</v>
      </c>
      <c r="G10" s="16">
        <v>18</v>
      </c>
      <c r="H10" s="17">
        <v>15</v>
      </c>
      <c r="I10" s="16">
        <v>44</v>
      </c>
    </row>
    <row r="11" spans="1:9">
      <c r="A11" s="13" t="s">
        <v>45</v>
      </c>
      <c r="B11" s="13" t="s">
        <v>49</v>
      </c>
      <c r="C11" s="16" t="s">
        <v>41</v>
      </c>
      <c r="D11" s="15">
        <v>6</v>
      </c>
      <c r="E11" s="15">
        <v>3</v>
      </c>
      <c r="F11" s="15">
        <v>5</v>
      </c>
      <c r="G11" s="16">
        <v>30</v>
      </c>
      <c r="H11" s="17">
        <v>28</v>
      </c>
      <c r="I11" s="16">
        <v>70</v>
      </c>
    </row>
    <row r="12" spans="1:9">
      <c r="A12" s="13" t="s">
        <v>50</v>
      </c>
      <c r="B12" s="13" t="s">
        <v>51</v>
      </c>
      <c r="C12" s="16" t="s">
        <v>48</v>
      </c>
      <c r="D12" s="15">
        <v>10</v>
      </c>
      <c r="E12" s="15">
        <v>9</v>
      </c>
      <c r="F12" s="15">
        <v>7</v>
      </c>
      <c r="G12" s="16">
        <v>29</v>
      </c>
      <c r="H12" s="17">
        <v>40</v>
      </c>
      <c r="I12" s="16">
        <v>77</v>
      </c>
    </row>
    <row r="13" spans="1:9">
      <c r="A13" s="18" t="s">
        <v>52</v>
      </c>
      <c r="B13" s="13" t="s">
        <v>53</v>
      </c>
      <c r="C13" s="16" t="s">
        <v>41</v>
      </c>
      <c r="D13" s="15">
        <v>12</v>
      </c>
      <c r="E13" s="15">
        <v>0</v>
      </c>
      <c r="F13" s="17">
        <v>7</v>
      </c>
      <c r="G13" s="17">
        <v>40</v>
      </c>
      <c r="H13" s="19">
        <v>39</v>
      </c>
      <c r="I13" s="16">
        <v>96</v>
      </c>
    </row>
    <row r="14" spans="1:9">
      <c r="A14" s="10" t="s">
        <v>54</v>
      </c>
      <c r="B14" s="13" t="s">
        <v>55</v>
      </c>
      <c r="C14" s="16" t="s">
        <v>33</v>
      </c>
      <c r="D14" s="15">
        <v>14</v>
      </c>
      <c r="E14" s="15">
        <v>0</v>
      </c>
      <c r="F14" s="15">
        <v>7</v>
      </c>
      <c r="G14" s="16">
        <v>28</v>
      </c>
      <c r="H14" s="17">
        <v>38</v>
      </c>
      <c r="I14" s="16">
        <v>83</v>
      </c>
    </row>
    <row r="15" spans="1:9">
      <c r="A15" s="10" t="s">
        <v>56</v>
      </c>
      <c r="B15" s="13" t="s">
        <v>57</v>
      </c>
      <c r="C15" s="16" t="s">
        <v>58</v>
      </c>
      <c r="D15" s="15">
        <v>5</v>
      </c>
      <c r="E15" s="15">
        <v>2</v>
      </c>
      <c r="F15" s="15">
        <v>4</v>
      </c>
      <c r="G15" s="16">
        <v>16</v>
      </c>
      <c r="H15" s="17">
        <v>24</v>
      </c>
      <c r="I15" s="16">
        <v>52</v>
      </c>
    </row>
  </sheetData>
  <mergeCells count="2">
    <mergeCell ref="A1:I1"/>
    <mergeCell ref="A2:C2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42"/>
  <sheetViews>
    <sheetView workbookViewId="0"/>
  </sheetViews>
  <sheetFormatPr defaultRowHeight="17.600000000000001"/>
  <cols>
    <col min="2" max="2" width="13.7109375" customWidth="1"/>
    <col min="3" max="3" width="10.0703125" customWidth="1"/>
    <col min="5" max="5" width="9.5" customWidth="1"/>
    <col min="7" max="7" width="10.0703125" customWidth="1"/>
    <col min="8" max="8" width="15.0703125" customWidth="1"/>
    <col min="9" max="9" width="9.5" customWidth="1"/>
    <col min="10" max="10" width="11" customWidth="1"/>
  </cols>
  <sheetData>
    <row r="1" spans="1:14">
      <c r="A1" s="2" t="s">
        <v>59</v>
      </c>
      <c r="B1" s="20" t="s">
        <v>60</v>
      </c>
      <c r="C1" s="3"/>
      <c r="D1" s="3"/>
      <c r="E1" s="3"/>
      <c r="F1" s="21" t="s">
        <v>61</v>
      </c>
      <c r="G1" s="20" t="s">
        <v>62</v>
      </c>
      <c r="H1" s="3"/>
      <c r="I1" s="3"/>
      <c r="J1" s="3"/>
      <c r="K1" s="3"/>
      <c r="L1" s="3"/>
      <c r="M1" s="3"/>
      <c r="N1" s="3"/>
    </row>
    <row r="2" spans="1:14">
      <c r="A2" s="10" t="s">
        <v>63</v>
      </c>
      <c r="B2" s="10" t="s">
        <v>64</v>
      </c>
      <c r="C2" s="10" t="s">
        <v>65</v>
      </c>
      <c r="D2" s="37" t="s">
        <v>66</v>
      </c>
      <c r="E2" s="3"/>
      <c r="F2" s="10" t="s">
        <v>23</v>
      </c>
      <c r="G2" s="10" t="s">
        <v>67</v>
      </c>
      <c r="H2" s="10" t="s">
        <v>68</v>
      </c>
      <c r="I2" s="10" t="s">
        <v>69</v>
      </c>
      <c r="J2" s="3"/>
      <c r="K2" s="3"/>
      <c r="L2" s="3"/>
      <c r="M2" s="3"/>
      <c r="N2" s="3"/>
    </row>
    <row r="3" spans="1:14">
      <c r="A3" s="10" t="s">
        <v>70</v>
      </c>
      <c r="B3" s="22" t="s">
        <v>71</v>
      </c>
      <c r="C3" s="10">
        <v>358</v>
      </c>
      <c r="D3" s="23"/>
      <c r="E3" s="3"/>
      <c r="F3" s="10" t="s">
        <v>72</v>
      </c>
      <c r="G3" s="10" t="s">
        <v>73</v>
      </c>
      <c r="H3" s="24">
        <v>87</v>
      </c>
      <c r="I3" s="24">
        <v>65</v>
      </c>
      <c r="J3" s="3"/>
      <c r="K3" s="37" t="s">
        <v>74</v>
      </c>
      <c r="L3" s="3"/>
      <c r="M3" s="3"/>
      <c r="N3" s="3"/>
    </row>
    <row r="4" spans="1:14">
      <c r="A4" s="10" t="s">
        <v>75</v>
      </c>
      <c r="B4" s="22" t="s">
        <v>76</v>
      </c>
      <c r="C4" s="10">
        <v>473</v>
      </c>
      <c r="D4" s="23"/>
      <c r="E4" s="3"/>
      <c r="F4" s="10" t="s">
        <v>77</v>
      </c>
      <c r="G4" s="10" t="s">
        <v>78</v>
      </c>
      <c r="H4" s="24">
        <v>64</v>
      </c>
      <c r="I4" s="24">
        <v>70</v>
      </c>
      <c r="J4" s="3"/>
      <c r="K4" s="10"/>
      <c r="L4" s="3"/>
      <c r="M4" s="3"/>
      <c r="N4" s="3"/>
    </row>
    <row r="5" spans="1:14">
      <c r="A5" s="10" t="s">
        <v>70</v>
      </c>
      <c r="B5" s="22" t="s">
        <v>79</v>
      </c>
      <c r="C5" s="10">
        <v>475</v>
      </c>
      <c r="D5" s="23"/>
      <c r="E5" s="3"/>
      <c r="F5" s="10" t="s">
        <v>80</v>
      </c>
      <c r="G5" s="10" t="s">
        <v>81</v>
      </c>
      <c r="H5" s="24">
        <v>72</v>
      </c>
      <c r="I5" s="24">
        <v>60</v>
      </c>
      <c r="J5" s="3"/>
      <c r="K5" s="3"/>
      <c r="L5" s="3"/>
      <c r="M5" s="3"/>
      <c r="N5" s="3"/>
    </row>
    <row r="6" spans="1:14">
      <c r="A6" s="10" t="s">
        <v>82</v>
      </c>
      <c r="B6" s="22" t="s">
        <v>83</v>
      </c>
      <c r="C6" s="10">
        <v>479</v>
      </c>
      <c r="D6" s="23"/>
      <c r="E6" s="3"/>
      <c r="F6" s="10" t="s">
        <v>84</v>
      </c>
      <c r="G6" s="10" t="s">
        <v>85</v>
      </c>
      <c r="H6" s="24">
        <v>70</v>
      </c>
      <c r="I6" s="24">
        <v>66</v>
      </c>
      <c r="J6" s="3"/>
      <c r="K6" s="3"/>
      <c r="L6" s="3"/>
      <c r="M6" s="3"/>
      <c r="N6" s="3"/>
    </row>
    <row r="7" spans="1:14">
      <c r="A7" s="10" t="s">
        <v>86</v>
      </c>
      <c r="B7" s="22" t="s">
        <v>87</v>
      </c>
      <c r="C7" s="10">
        <v>580</v>
      </c>
      <c r="D7" s="23"/>
      <c r="E7" s="3"/>
      <c r="F7" s="10" t="s">
        <v>88</v>
      </c>
      <c r="G7" s="10" t="s">
        <v>73</v>
      </c>
      <c r="H7" s="24">
        <v>86</v>
      </c>
      <c r="I7" s="24">
        <v>83</v>
      </c>
      <c r="J7" s="3"/>
      <c r="K7" s="3"/>
      <c r="L7" s="3"/>
      <c r="M7" s="3"/>
      <c r="N7" s="3"/>
    </row>
    <row r="8" spans="1:14">
      <c r="A8" s="10" t="s">
        <v>89</v>
      </c>
      <c r="B8" s="10" t="s">
        <v>90</v>
      </c>
      <c r="C8" s="10">
        <v>555</v>
      </c>
      <c r="D8" s="23"/>
      <c r="E8" s="3"/>
      <c r="F8" s="10" t="s">
        <v>91</v>
      </c>
      <c r="G8" s="10" t="s">
        <v>78</v>
      </c>
      <c r="H8" s="24">
        <v>72</v>
      </c>
      <c r="I8" s="24">
        <v>78</v>
      </c>
      <c r="J8" s="3"/>
      <c r="K8" s="3"/>
      <c r="L8" s="3"/>
      <c r="M8" s="3"/>
      <c r="N8" s="3"/>
    </row>
    <row r="9" spans="1:14">
      <c r="A9" s="10" t="s">
        <v>92</v>
      </c>
      <c r="B9" s="10" t="s">
        <v>93</v>
      </c>
      <c r="C9" s="10">
        <v>450</v>
      </c>
      <c r="D9" s="10"/>
      <c r="E9" s="3"/>
      <c r="F9" s="10" t="s">
        <v>94</v>
      </c>
      <c r="G9" s="10" t="s">
        <v>85</v>
      </c>
      <c r="H9" s="24">
        <v>70</v>
      </c>
      <c r="I9" s="24">
        <v>88</v>
      </c>
      <c r="J9" s="3"/>
      <c r="K9" s="3"/>
      <c r="L9" s="3"/>
      <c r="M9" s="3"/>
      <c r="N9" s="3"/>
    </row>
    <row r="10" spans="1:14">
      <c r="A10" s="10" t="s">
        <v>95</v>
      </c>
      <c r="B10" s="10" t="s">
        <v>96</v>
      </c>
      <c r="C10" s="10">
        <v>380</v>
      </c>
      <c r="D10" s="10"/>
      <c r="E10" s="3"/>
      <c r="F10" s="10" t="s">
        <v>97</v>
      </c>
      <c r="G10" s="10" t="s">
        <v>73</v>
      </c>
      <c r="H10" s="24">
        <v>68</v>
      </c>
      <c r="I10" s="24">
        <v>60</v>
      </c>
      <c r="J10" s="3"/>
      <c r="K10" s="3"/>
      <c r="L10" s="3"/>
      <c r="M10" s="3"/>
      <c r="N10" s="3"/>
    </row>
    <row r="11" spans="1:14">
      <c r="A11" s="10" t="s">
        <v>98</v>
      </c>
      <c r="B11" s="10" t="s">
        <v>99</v>
      </c>
      <c r="C11" s="10">
        <v>290</v>
      </c>
      <c r="D11" s="10"/>
      <c r="E11" s="3"/>
      <c r="F11" s="25" t="s">
        <v>100</v>
      </c>
      <c r="G11" s="25" t="s">
        <v>101</v>
      </c>
      <c r="H11" s="26">
        <v>87</v>
      </c>
      <c r="I11" s="26">
        <v>67</v>
      </c>
      <c r="J11" s="3"/>
      <c r="K11" s="3"/>
      <c r="L11" s="3"/>
      <c r="M11" s="3"/>
      <c r="N11" s="3"/>
    </row>
    <row r="12" spans="1:14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</row>
    <row r="13" spans="1:14">
      <c r="A13" s="27" t="s">
        <v>102</v>
      </c>
      <c r="B13" s="20" t="s">
        <v>103</v>
      </c>
      <c r="C13" s="3"/>
      <c r="D13" s="3"/>
      <c r="E13" s="3"/>
      <c r="F13" s="3"/>
      <c r="G13" s="21" t="s">
        <v>213</v>
      </c>
      <c r="H13" s="28" t="s">
        <v>104</v>
      </c>
      <c r="I13" s="29"/>
      <c r="J13" s="29" t="s">
        <v>214</v>
      </c>
      <c r="K13" s="3"/>
      <c r="L13" s="72" t="s">
        <v>215</v>
      </c>
      <c r="M13" s="72"/>
      <c r="N13" s="3"/>
    </row>
    <row r="14" spans="1:14">
      <c r="A14" s="10" t="s">
        <v>105</v>
      </c>
      <c r="B14" s="10" t="s">
        <v>68</v>
      </c>
      <c r="C14" s="10" t="s">
        <v>106</v>
      </c>
      <c r="D14" s="25" t="s">
        <v>107</v>
      </c>
      <c r="E14" s="37" t="s">
        <v>108</v>
      </c>
      <c r="F14" s="3"/>
      <c r="G14" s="11" t="s">
        <v>109</v>
      </c>
      <c r="H14" s="11" t="s">
        <v>216</v>
      </c>
      <c r="I14" s="11" t="s">
        <v>111</v>
      </c>
      <c r="J14" s="38" t="s">
        <v>217</v>
      </c>
      <c r="K14" s="3"/>
      <c r="L14" s="11" t="s">
        <v>218</v>
      </c>
      <c r="M14" s="11" t="s">
        <v>233</v>
      </c>
      <c r="N14" s="3"/>
    </row>
    <row r="15" spans="1:14">
      <c r="A15" s="10" t="s">
        <v>112</v>
      </c>
      <c r="B15" s="10">
        <v>73</v>
      </c>
      <c r="C15" s="10">
        <v>80</v>
      </c>
      <c r="D15" s="10">
        <f t="shared" ref="D15:D23" si="0">SUM(B15:C15)</f>
        <v>153</v>
      </c>
      <c r="E15" s="10"/>
      <c r="F15" s="3"/>
      <c r="G15" s="30" t="s">
        <v>219</v>
      </c>
      <c r="H15" s="11" t="s">
        <v>220</v>
      </c>
      <c r="I15" s="31">
        <v>1220</v>
      </c>
      <c r="J15" s="67"/>
      <c r="K15" s="3"/>
      <c r="L15" s="32" t="s">
        <v>234</v>
      </c>
      <c r="M15" s="33">
        <v>150</v>
      </c>
      <c r="N15" s="3"/>
    </row>
    <row r="16" spans="1:14">
      <c r="A16" s="10" t="s">
        <v>113</v>
      </c>
      <c r="B16" s="10">
        <v>90</v>
      </c>
      <c r="C16" s="10">
        <v>90</v>
      </c>
      <c r="D16" s="10">
        <f t="shared" si="0"/>
        <v>180</v>
      </c>
      <c r="E16" s="10"/>
      <c r="F16" s="3"/>
      <c r="G16" s="66" t="s">
        <v>221</v>
      </c>
      <c r="H16" s="11" t="s">
        <v>222</v>
      </c>
      <c r="I16" s="34">
        <v>650</v>
      </c>
      <c r="J16" s="67"/>
      <c r="K16" s="3"/>
      <c r="L16" s="16" t="s">
        <v>235</v>
      </c>
      <c r="M16" s="33">
        <v>800</v>
      </c>
      <c r="N16" s="3"/>
    </row>
    <row r="17" spans="1:14">
      <c r="A17" s="10" t="s">
        <v>114</v>
      </c>
      <c r="B17" s="10">
        <v>68</v>
      </c>
      <c r="C17" s="10">
        <v>64</v>
      </c>
      <c r="D17" s="10">
        <f t="shared" si="0"/>
        <v>132</v>
      </c>
      <c r="E17" s="10"/>
      <c r="F17" s="3"/>
      <c r="G17" s="66" t="s">
        <v>223</v>
      </c>
      <c r="H17" s="11" t="s">
        <v>224</v>
      </c>
      <c r="I17" s="34">
        <v>552</v>
      </c>
      <c r="J17" s="67"/>
      <c r="K17" s="3"/>
      <c r="L17" s="32" t="s">
        <v>236</v>
      </c>
      <c r="M17" s="33">
        <v>2500</v>
      </c>
      <c r="N17" s="3"/>
    </row>
    <row r="18" spans="1:14">
      <c r="A18" s="10" t="s">
        <v>115</v>
      </c>
      <c r="B18" s="10">
        <v>82</v>
      </c>
      <c r="C18" s="10">
        <v>78</v>
      </c>
      <c r="D18" s="10">
        <f t="shared" si="0"/>
        <v>160</v>
      </c>
      <c r="E18" s="10"/>
      <c r="F18" s="3"/>
      <c r="G18" s="66" t="s">
        <v>221</v>
      </c>
      <c r="H18" s="11" t="s">
        <v>222</v>
      </c>
      <c r="I18" s="34">
        <v>321</v>
      </c>
      <c r="J18" s="67"/>
      <c r="K18" s="3"/>
      <c r="L18" s="3"/>
      <c r="M18" s="3"/>
      <c r="N18" s="3"/>
    </row>
    <row r="19" spans="1:14">
      <c r="A19" s="10" t="s">
        <v>116</v>
      </c>
      <c r="B19" s="10">
        <v>91</v>
      </c>
      <c r="C19" s="10">
        <v>92</v>
      </c>
      <c r="D19" s="10">
        <f t="shared" si="0"/>
        <v>183</v>
      </c>
      <c r="E19" s="10"/>
      <c r="F19" s="3"/>
      <c r="G19" s="66" t="s">
        <v>117</v>
      </c>
      <c r="H19" s="11" t="s">
        <v>225</v>
      </c>
      <c r="I19" s="34">
        <v>172</v>
      </c>
      <c r="J19" s="67"/>
      <c r="K19" s="3"/>
      <c r="L19" s="3"/>
      <c r="M19" s="3"/>
      <c r="N19" s="3"/>
    </row>
    <row r="20" spans="1:14">
      <c r="A20" s="25" t="s">
        <v>118</v>
      </c>
      <c r="B20" s="25">
        <v>83</v>
      </c>
      <c r="C20" s="25">
        <v>79</v>
      </c>
      <c r="D20" s="10">
        <f t="shared" si="0"/>
        <v>162</v>
      </c>
      <c r="E20" s="10"/>
      <c r="F20" s="3"/>
      <c r="G20" s="18" t="s">
        <v>226</v>
      </c>
      <c r="H20" s="11" t="s">
        <v>227</v>
      </c>
      <c r="I20" s="35">
        <v>350</v>
      </c>
      <c r="J20" s="67"/>
      <c r="K20" s="3"/>
      <c r="L20" s="3"/>
      <c r="M20" s="3"/>
      <c r="N20" s="3"/>
    </row>
    <row r="21" spans="1:14">
      <c r="A21" s="25" t="s">
        <v>119</v>
      </c>
      <c r="B21" s="25">
        <v>78</v>
      </c>
      <c r="C21" s="25">
        <v>70</v>
      </c>
      <c r="D21" s="10">
        <f t="shared" si="0"/>
        <v>148</v>
      </c>
      <c r="E21" s="10"/>
      <c r="F21" s="3"/>
      <c r="G21" s="65" t="s">
        <v>228</v>
      </c>
      <c r="H21" s="65" t="s">
        <v>229</v>
      </c>
      <c r="I21" s="36">
        <v>290</v>
      </c>
      <c r="J21" s="67"/>
      <c r="K21" s="3"/>
      <c r="L21" s="3"/>
      <c r="M21" s="3"/>
      <c r="N21" s="3"/>
    </row>
    <row r="22" spans="1:14">
      <c r="A22" s="10" t="s">
        <v>77</v>
      </c>
      <c r="B22" s="25">
        <v>94</v>
      </c>
      <c r="C22" s="25">
        <v>94</v>
      </c>
      <c r="D22" s="10">
        <f t="shared" si="0"/>
        <v>188</v>
      </c>
      <c r="E22" s="10"/>
      <c r="F22" s="3"/>
      <c r="G22" s="65" t="s">
        <v>230</v>
      </c>
      <c r="H22" s="11" t="s">
        <v>231</v>
      </c>
      <c r="I22" s="36">
        <v>310</v>
      </c>
      <c r="J22" s="67"/>
      <c r="K22" s="3"/>
      <c r="L22" s="3"/>
      <c r="M22" s="3"/>
      <c r="N22" s="3"/>
    </row>
    <row r="23" spans="1:14">
      <c r="A23" s="10" t="s">
        <v>120</v>
      </c>
      <c r="B23" s="25">
        <v>88</v>
      </c>
      <c r="C23" s="25">
        <v>85</v>
      </c>
      <c r="D23" s="10">
        <f t="shared" si="0"/>
        <v>173</v>
      </c>
      <c r="E23" s="10"/>
      <c r="F23" s="3"/>
      <c r="G23" s="65" t="s">
        <v>232</v>
      </c>
      <c r="H23" s="65" t="s">
        <v>229</v>
      </c>
      <c r="I23" s="36">
        <v>710</v>
      </c>
      <c r="J23" s="67"/>
      <c r="K23" s="3"/>
      <c r="L23" s="3"/>
      <c r="M23" s="3"/>
      <c r="N23" s="3"/>
    </row>
    <row r="24" spans="1:14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</row>
    <row r="25" spans="1:14">
      <c r="A25" s="3" t="s">
        <v>121</v>
      </c>
      <c r="B25" s="28" t="s">
        <v>122</v>
      </c>
      <c r="C25" s="29"/>
      <c r="D25" s="29"/>
      <c r="E25" s="3"/>
      <c r="F25" s="3"/>
      <c r="G25" s="3"/>
      <c r="H25" s="3"/>
      <c r="I25" s="3"/>
      <c r="J25" s="3"/>
      <c r="K25" s="3"/>
      <c r="L25" s="3"/>
      <c r="M25" s="3"/>
      <c r="N25" s="3"/>
    </row>
    <row r="26" spans="1:14">
      <c r="A26" s="10" t="s">
        <v>123</v>
      </c>
      <c r="B26" s="10" t="s">
        <v>124</v>
      </c>
      <c r="C26" s="10" t="s">
        <v>125</v>
      </c>
      <c r="D26" s="10" t="s">
        <v>126</v>
      </c>
      <c r="E26" s="3"/>
      <c r="F26" s="3"/>
      <c r="G26" s="3"/>
      <c r="H26" s="3"/>
      <c r="I26" s="3"/>
      <c r="J26" s="3"/>
      <c r="K26" s="3"/>
      <c r="L26" s="3"/>
      <c r="M26" s="3"/>
      <c r="N26" s="3"/>
    </row>
    <row r="27" spans="1:14">
      <c r="A27" s="10" t="s">
        <v>127</v>
      </c>
      <c r="B27" s="10" t="s">
        <v>128</v>
      </c>
      <c r="C27" s="36">
        <v>342</v>
      </c>
      <c r="D27" s="36">
        <v>890</v>
      </c>
      <c r="E27" s="3"/>
      <c r="F27" s="3"/>
      <c r="G27" s="3"/>
      <c r="H27" s="3"/>
      <c r="I27" s="3"/>
      <c r="J27" s="3"/>
      <c r="K27" s="3"/>
      <c r="L27" s="3"/>
      <c r="M27" s="3"/>
      <c r="N27" s="3"/>
    </row>
    <row r="28" spans="1:14">
      <c r="A28" s="10" t="s">
        <v>129</v>
      </c>
      <c r="B28" s="10" t="s">
        <v>128</v>
      </c>
      <c r="C28" s="36">
        <v>450</v>
      </c>
      <c r="D28" s="36">
        <v>560</v>
      </c>
      <c r="E28" s="3"/>
      <c r="F28" s="25"/>
      <c r="G28" s="25"/>
      <c r="H28" s="70" t="s">
        <v>130</v>
      </c>
      <c r="I28" s="70"/>
      <c r="J28" s="3"/>
      <c r="K28" s="3"/>
      <c r="L28" s="3"/>
      <c r="M28" s="3"/>
      <c r="N28" s="3"/>
    </row>
    <row r="29" spans="1:14">
      <c r="A29" s="10" t="s">
        <v>131</v>
      </c>
      <c r="B29" s="10" t="s">
        <v>12</v>
      </c>
      <c r="C29" s="36">
        <v>122</v>
      </c>
      <c r="D29" s="36">
        <v>210</v>
      </c>
      <c r="E29" s="3"/>
      <c r="F29" s="25"/>
      <c r="G29" s="25"/>
      <c r="H29" s="71"/>
      <c r="I29" s="71"/>
      <c r="J29" s="3"/>
      <c r="K29" s="3"/>
      <c r="L29" s="3"/>
      <c r="M29" s="3"/>
      <c r="N29" s="3"/>
    </row>
    <row r="30" spans="1:14">
      <c r="A30" s="10" t="s">
        <v>132</v>
      </c>
      <c r="B30" s="10" t="s">
        <v>133</v>
      </c>
      <c r="C30" s="36">
        <v>512</v>
      </c>
      <c r="D30" s="36">
        <v>56</v>
      </c>
      <c r="E30" s="3"/>
      <c r="F30" s="3"/>
      <c r="G30" s="3"/>
      <c r="H30" s="3"/>
      <c r="I30" s="3"/>
      <c r="J30" s="3"/>
      <c r="K30" s="3"/>
      <c r="L30" s="3"/>
      <c r="M30" s="3"/>
      <c r="N30" s="3"/>
    </row>
    <row r="31" spans="1:14">
      <c r="A31" s="10" t="s">
        <v>134</v>
      </c>
      <c r="B31" s="10" t="s">
        <v>10</v>
      </c>
      <c r="C31" s="36">
        <v>154</v>
      </c>
      <c r="D31" s="36">
        <v>78</v>
      </c>
      <c r="E31" s="3"/>
      <c r="F31" s="3"/>
      <c r="G31" s="3"/>
      <c r="H31" s="3"/>
      <c r="I31" s="3"/>
      <c r="J31" s="3"/>
      <c r="K31" s="3"/>
      <c r="L31" s="3"/>
      <c r="M31" s="3"/>
      <c r="N31" s="3"/>
    </row>
    <row r="32" spans="1:14">
      <c r="A32" s="10" t="s">
        <v>135</v>
      </c>
      <c r="B32" s="10" t="s">
        <v>128</v>
      </c>
      <c r="C32" s="36">
        <v>340</v>
      </c>
      <c r="D32" s="36">
        <v>350</v>
      </c>
      <c r="E32" s="3"/>
      <c r="F32" s="3"/>
      <c r="G32" s="3"/>
      <c r="H32" s="3"/>
      <c r="I32" s="3"/>
      <c r="J32" s="3"/>
      <c r="K32" s="3"/>
      <c r="L32" s="3"/>
      <c r="M32" s="3"/>
      <c r="N32" s="3"/>
    </row>
    <row r="33" spans="1:14">
      <c r="A33" s="10" t="s">
        <v>136</v>
      </c>
      <c r="B33" s="10" t="s">
        <v>128</v>
      </c>
      <c r="C33" s="36">
        <v>78</v>
      </c>
      <c r="D33" s="36">
        <v>89</v>
      </c>
      <c r="E33" s="3"/>
      <c r="F33" s="3"/>
      <c r="G33" s="3"/>
      <c r="H33" s="3"/>
      <c r="I33" s="3"/>
      <c r="J33" s="3"/>
      <c r="K33" s="3"/>
      <c r="L33" s="3"/>
      <c r="M33" s="3"/>
      <c r="N33" s="3"/>
    </row>
    <row r="34" spans="1:14">
      <c r="A34" s="10" t="s">
        <v>137</v>
      </c>
      <c r="B34" s="10" t="s">
        <v>12</v>
      </c>
      <c r="C34" s="36">
        <v>76</v>
      </c>
      <c r="D34" s="36">
        <v>121</v>
      </c>
      <c r="E34" s="3"/>
      <c r="F34" s="3"/>
      <c r="G34" s="3"/>
      <c r="H34" s="3"/>
      <c r="I34" s="3"/>
      <c r="J34" s="3"/>
      <c r="K34" s="3"/>
      <c r="L34" s="3"/>
      <c r="M34" s="3"/>
      <c r="N34" s="3"/>
    </row>
    <row r="35" spans="1:14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</row>
    <row r="36" spans="1:14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</row>
    <row r="37" spans="1:14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</row>
    <row r="38" spans="1:14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</row>
    <row r="39" spans="1:14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</row>
    <row r="40" spans="1:14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</row>
    <row r="41" spans="1:14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</row>
    <row r="42" spans="1:14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</row>
  </sheetData>
  <mergeCells count="3">
    <mergeCell ref="H28:I28"/>
    <mergeCell ref="H29:I29"/>
    <mergeCell ref="L13:M13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5"/>
  <sheetViews>
    <sheetView workbookViewId="0"/>
  </sheetViews>
  <sheetFormatPr defaultRowHeight="17.600000000000001"/>
  <cols>
    <col min="1" max="1" width="10.42578125" bestFit="1" customWidth="1"/>
    <col min="2" max="7" width="9.7109375" customWidth="1"/>
  </cols>
  <sheetData>
    <row r="1" spans="1:7" ht="21.45">
      <c r="A1" s="73" t="s">
        <v>138</v>
      </c>
      <c r="B1" s="73"/>
      <c r="C1" s="73"/>
      <c r="D1" s="73"/>
      <c r="E1" s="73"/>
      <c r="F1" s="73"/>
      <c r="G1" s="73"/>
    </row>
    <row r="2" spans="1:7">
      <c r="A2" s="74"/>
      <c r="B2" s="74"/>
      <c r="C2" s="74"/>
      <c r="D2" s="2"/>
      <c r="E2" s="2"/>
      <c r="F2" s="2"/>
      <c r="G2" s="39" t="s">
        <v>139</v>
      </c>
    </row>
    <row r="3" spans="1:7">
      <c r="A3" s="11" t="s">
        <v>110</v>
      </c>
      <c r="B3" s="11" t="s">
        <v>140</v>
      </c>
      <c r="C3" s="11" t="s">
        <v>141</v>
      </c>
      <c r="D3" s="11" t="s">
        <v>142</v>
      </c>
      <c r="E3" s="12" t="s">
        <v>143</v>
      </c>
      <c r="F3" s="11" t="s">
        <v>144</v>
      </c>
      <c r="G3" s="11" t="s">
        <v>145</v>
      </c>
    </row>
    <row r="4" spans="1:7">
      <c r="A4" s="13" t="s">
        <v>146</v>
      </c>
      <c r="B4" s="12">
        <v>54</v>
      </c>
      <c r="C4" s="40">
        <v>445</v>
      </c>
      <c r="D4" s="41">
        <v>0.05</v>
      </c>
      <c r="E4" s="12">
        <f>B4*C4*$B$15</f>
        <v>6007.5</v>
      </c>
      <c r="F4" s="12">
        <f t="shared" ref="F4:F12" si="0">C4*(1-D4)*B4</f>
        <v>22828.5</v>
      </c>
      <c r="G4" s="42">
        <f t="shared" ref="G4:G12" si="1">F4-E4</f>
        <v>16821</v>
      </c>
    </row>
    <row r="5" spans="1:7">
      <c r="A5" s="13" t="s">
        <v>147</v>
      </c>
      <c r="B5" s="12">
        <v>100</v>
      </c>
      <c r="C5" s="40">
        <v>800</v>
      </c>
      <c r="D5" s="41">
        <v>0.1</v>
      </c>
      <c r="E5" s="12">
        <f t="shared" ref="E5:E12" si="2">B5*C5*$B$15</f>
        <v>20000</v>
      </c>
      <c r="F5" s="12">
        <f t="shared" si="0"/>
        <v>72000</v>
      </c>
      <c r="G5" s="42">
        <f t="shared" si="1"/>
        <v>52000</v>
      </c>
    </row>
    <row r="6" spans="1:7">
      <c r="A6" s="13" t="s">
        <v>148</v>
      </c>
      <c r="B6" s="12">
        <v>56</v>
      </c>
      <c r="C6" s="40">
        <v>1200</v>
      </c>
      <c r="D6" s="41">
        <v>0.05</v>
      </c>
      <c r="E6" s="12">
        <f t="shared" si="2"/>
        <v>16800</v>
      </c>
      <c r="F6" s="12">
        <f t="shared" si="0"/>
        <v>63840</v>
      </c>
      <c r="G6" s="42">
        <f t="shared" si="1"/>
        <v>47040</v>
      </c>
    </row>
    <row r="7" spans="1:7">
      <c r="A7" s="13" t="s">
        <v>149</v>
      </c>
      <c r="B7" s="12">
        <v>50</v>
      </c>
      <c r="C7" s="40">
        <v>800</v>
      </c>
      <c r="D7" s="41">
        <v>0</v>
      </c>
      <c r="E7" s="12">
        <f t="shared" si="2"/>
        <v>10000</v>
      </c>
      <c r="F7" s="12">
        <f t="shared" si="0"/>
        <v>40000</v>
      </c>
      <c r="G7" s="42">
        <f t="shared" si="1"/>
        <v>30000</v>
      </c>
    </row>
    <row r="8" spans="1:7">
      <c r="A8" s="13" t="s">
        <v>150</v>
      </c>
      <c r="B8" s="12">
        <v>60</v>
      </c>
      <c r="C8" s="40">
        <v>600</v>
      </c>
      <c r="D8" s="41">
        <v>0.03</v>
      </c>
      <c r="E8" s="12">
        <f t="shared" si="2"/>
        <v>9000</v>
      </c>
      <c r="F8" s="12">
        <f t="shared" si="0"/>
        <v>34920</v>
      </c>
      <c r="G8" s="42">
        <f t="shared" si="1"/>
        <v>25920</v>
      </c>
    </row>
    <row r="9" spans="1:7">
      <c r="A9" s="13" t="s">
        <v>151</v>
      </c>
      <c r="B9" s="12">
        <v>70</v>
      </c>
      <c r="C9" s="40">
        <v>760</v>
      </c>
      <c r="D9" s="41">
        <v>0.05</v>
      </c>
      <c r="E9" s="12">
        <f t="shared" si="2"/>
        <v>13300</v>
      </c>
      <c r="F9" s="12">
        <f t="shared" si="0"/>
        <v>50540</v>
      </c>
      <c r="G9" s="42">
        <f t="shared" si="1"/>
        <v>37240</v>
      </c>
    </row>
    <row r="10" spans="1:7">
      <c r="A10" s="13" t="s">
        <v>152</v>
      </c>
      <c r="B10" s="12">
        <v>66</v>
      </c>
      <c r="C10" s="40">
        <v>870</v>
      </c>
      <c r="D10" s="41">
        <v>0</v>
      </c>
      <c r="E10" s="12">
        <f t="shared" si="2"/>
        <v>14355</v>
      </c>
      <c r="F10" s="12">
        <f t="shared" si="0"/>
        <v>57420</v>
      </c>
      <c r="G10" s="42">
        <f t="shared" si="1"/>
        <v>43065</v>
      </c>
    </row>
    <row r="11" spans="1:7">
      <c r="A11" s="13" t="s">
        <v>153</v>
      </c>
      <c r="B11" s="12">
        <v>54</v>
      </c>
      <c r="C11" s="40">
        <v>800</v>
      </c>
      <c r="D11" s="41">
        <v>0.05</v>
      </c>
      <c r="E11" s="12">
        <f t="shared" si="2"/>
        <v>10800</v>
      </c>
      <c r="F11" s="12">
        <f t="shared" si="0"/>
        <v>41040</v>
      </c>
      <c r="G11" s="42">
        <f t="shared" si="1"/>
        <v>30240</v>
      </c>
    </row>
    <row r="12" spans="1:7">
      <c r="A12" s="13" t="s">
        <v>154</v>
      </c>
      <c r="B12" s="12">
        <v>110</v>
      </c>
      <c r="C12" s="40">
        <v>500</v>
      </c>
      <c r="D12" s="41">
        <v>0.1</v>
      </c>
      <c r="E12" s="12">
        <f t="shared" si="2"/>
        <v>13750</v>
      </c>
      <c r="F12" s="12">
        <f t="shared" si="0"/>
        <v>49500</v>
      </c>
      <c r="G12" s="42">
        <f t="shared" si="1"/>
        <v>35750</v>
      </c>
    </row>
    <row r="13" spans="1:7">
      <c r="A13" s="12" t="s">
        <v>7</v>
      </c>
      <c r="B13" s="42">
        <f>SUM(B4:B12)</f>
        <v>620</v>
      </c>
      <c r="C13" s="43"/>
      <c r="D13" s="44"/>
      <c r="E13" s="42">
        <f>SUM(E4:E12)</f>
        <v>114012.5</v>
      </c>
      <c r="F13" s="42">
        <f>SUM(F4:F12)</f>
        <v>432088.5</v>
      </c>
      <c r="G13" s="42">
        <f>SUM(G4:G12)</f>
        <v>318076</v>
      </c>
    </row>
    <row r="14" spans="1:7">
      <c r="A14" s="2"/>
      <c r="B14" s="2"/>
      <c r="C14" s="2"/>
      <c r="D14" s="45"/>
      <c r="E14" s="2"/>
      <c r="F14" s="46"/>
      <c r="G14" s="46"/>
    </row>
    <row r="15" spans="1:7">
      <c r="A15" s="11" t="s">
        <v>155</v>
      </c>
      <c r="B15" s="47">
        <v>0.25</v>
      </c>
      <c r="C15" s="3"/>
      <c r="D15" s="48"/>
      <c r="E15" s="49"/>
      <c r="F15" s="46"/>
      <c r="G15" s="2"/>
    </row>
  </sheetData>
  <mergeCells count="2">
    <mergeCell ref="A1:G1"/>
    <mergeCell ref="A2:C2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J16"/>
  <sheetViews>
    <sheetView workbookViewId="0"/>
  </sheetViews>
  <sheetFormatPr defaultRowHeight="17.600000000000001"/>
  <cols>
    <col min="1" max="1" width="1.5703125" customWidth="1"/>
    <col min="2" max="2" width="12" bestFit="1" customWidth="1"/>
    <col min="3" max="3" width="12.7109375" customWidth="1"/>
    <col min="4" max="10" width="10.2109375" customWidth="1"/>
  </cols>
  <sheetData>
    <row r="1" spans="2:10">
      <c r="B1" s="3"/>
      <c r="C1" s="3"/>
      <c r="D1" s="3"/>
      <c r="E1" s="3"/>
      <c r="F1" s="3"/>
      <c r="G1" s="3"/>
      <c r="H1" s="3"/>
      <c r="I1" s="3"/>
      <c r="J1" s="3"/>
    </row>
    <row r="2" spans="2:10">
      <c r="B2" s="75" t="s">
        <v>156</v>
      </c>
      <c r="C2" s="75"/>
      <c r="D2" s="50"/>
      <c r="E2" s="50"/>
      <c r="F2" s="50"/>
      <c r="G2" s="3"/>
      <c r="H2" s="3"/>
      <c r="I2" s="3"/>
      <c r="J2" s="3"/>
    </row>
    <row r="3" spans="2:10">
      <c r="B3" s="51" t="s">
        <v>157</v>
      </c>
      <c r="C3" s="52">
        <v>50000000</v>
      </c>
      <c r="D3" s="53"/>
      <c r="E3" s="53"/>
      <c r="F3" s="53"/>
      <c r="G3" s="53"/>
      <c r="H3" s="53"/>
      <c r="I3" s="53"/>
      <c r="J3" s="3"/>
    </row>
    <row r="4" spans="2:10">
      <c r="B4" s="51" t="s">
        <v>158</v>
      </c>
      <c r="C4" s="54">
        <v>3</v>
      </c>
      <c r="D4" s="53"/>
      <c r="E4" s="53"/>
      <c r="F4" s="53"/>
      <c r="G4" s="53"/>
      <c r="H4" s="53"/>
      <c r="I4" s="53"/>
      <c r="J4" s="3"/>
    </row>
    <row r="5" spans="2:10">
      <c r="B5" s="51" t="s">
        <v>159</v>
      </c>
      <c r="C5" s="55">
        <v>1</v>
      </c>
      <c r="D5" s="53"/>
      <c r="E5" s="53"/>
      <c r="F5" s="53"/>
      <c r="G5" s="53"/>
      <c r="H5" s="53"/>
      <c r="I5" s="53"/>
      <c r="J5" s="3"/>
    </row>
    <row r="6" spans="2:10">
      <c r="B6" s="51" t="s">
        <v>160</v>
      </c>
      <c r="C6" s="56">
        <f>PMT(C4/100/12,C5*12,-C3)</f>
        <v>4234684.9379244475</v>
      </c>
      <c r="D6" s="53"/>
      <c r="E6" s="53"/>
      <c r="F6" s="53"/>
      <c r="G6" s="53"/>
      <c r="H6" s="53"/>
      <c r="I6" s="53"/>
      <c r="J6" s="3"/>
    </row>
    <row r="7" spans="2:10">
      <c r="B7" s="53"/>
      <c r="C7" s="53"/>
      <c r="D7" s="53"/>
      <c r="E7" s="53"/>
      <c r="F7" s="53"/>
      <c r="G7" s="53"/>
      <c r="H7" s="53"/>
      <c r="I7" s="53"/>
      <c r="J7" s="3"/>
    </row>
    <row r="8" spans="2:10">
      <c r="B8" s="53"/>
      <c r="C8" s="53"/>
      <c r="D8" s="53"/>
      <c r="E8" s="53"/>
      <c r="F8" s="53"/>
      <c r="G8" s="53"/>
      <c r="H8" s="53"/>
      <c r="I8" s="53"/>
      <c r="J8" s="3"/>
    </row>
    <row r="9" spans="2:10">
      <c r="B9" s="3"/>
      <c r="C9" s="3"/>
      <c r="D9" s="57" t="s">
        <v>158</v>
      </c>
      <c r="E9" s="58"/>
      <c r="F9" s="58"/>
      <c r="G9" s="58"/>
      <c r="H9" s="58"/>
      <c r="I9" s="58"/>
      <c r="J9" s="58"/>
    </row>
    <row r="10" spans="2:10">
      <c r="B10" s="3"/>
      <c r="C10" s="56"/>
      <c r="D10" s="54">
        <v>2</v>
      </c>
      <c r="E10" s="54">
        <v>2.5</v>
      </c>
      <c r="F10" s="54">
        <v>3</v>
      </c>
      <c r="G10" s="54">
        <v>3.5</v>
      </c>
      <c r="H10" s="54">
        <v>4</v>
      </c>
      <c r="I10" s="54">
        <v>4.5</v>
      </c>
      <c r="J10" s="54">
        <v>5</v>
      </c>
    </row>
    <row r="11" spans="2:10">
      <c r="B11" s="57" t="s">
        <v>159</v>
      </c>
      <c r="C11" s="55">
        <v>2</v>
      </c>
      <c r="D11" s="59"/>
      <c r="E11" s="59"/>
      <c r="F11" s="59"/>
      <c r="G11" s="59"/>
      <c r="H11" s="59"/>
      <c r="I11" s="59"/>
      <c r="J11" s="59"/>
    </row>
    <row r="12" spans="2:10">
      <c r="B12" s="58"/>
      <c r="C12" s="55">
        <v>3</v>
      </c>
      <c r="D12" s="59"/>
      <c r="E12" s="59"/>
      <c r="F12" s="59"/>
      <c r="G12" s="59"/>
      <c r="H12" s="59"/>
      <c r="I12" s="59"/>
      <c r="J12" s="59"/>
    </row>
    <row r="13" spans="2:10">
      <c r="B13" s="58"/>
      <c r="C13" s="55">
        <v>5</v>
      </c>
      <c r="D13" s="59"/>
      <c r="E13" s="59"/>
      <c r="F13" s="59"/>
      <c r="G13" s="59"/>
      <c r="H13" s="59"/>
      <c r="I13" s="59"/>
      <c r="J13" s="59"/>
    </row>
    <row r="14" spans="2:10">
      <c r="B14" s="58"/>
      <c r="C14" s="55">
        <v>10</v>
      </c>
      <c r="D14" s="59"/>
      <c r="E14" s="59"/>
      <c r="F14" s="59"/>
      <c r="G14" s="59"/>
      <c r="H14" s="59"/>
      <c r="I14" s="59"/>
      <c r="J14" s="59"/>
    </row>
    <row r="15" spans="2:10">
      <c r="B15" s="58"/>
      <c r="C15" s="55">
        <v>12</v>
      </c>
      <c r="D15" s="59"/>
      <c r="E15" s="59"/>
      <c r="F15" s="59"/>
      <c r="G15" s="59"/>
      <c r="H15" s="59"/>
      <c r="I15" s="59"/>
      <c r="J15" s="59"/>
    </row>
    <row r="16" spans="2:10">
      <c r="B16" s="58"/>
      <c r="C16" s="55">
        <v>15</v>
      </c>
      <c r="D16" s="59"/>
      <c r="E16" s="59"/>
      <c r="F16" s="59"/>
      <c r="G16" s="59"/>
      <c r="H16" s="59"/>
      <c r="I16" s="59"/>
      <c r="J16" s="59"/>
    </row>
  </sheetData>
  <mergeCells count="1">
    <mergeCell ref="B2:C2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1"/>
  <sheetViews>
    <sheetView workbookViewId="0"/>
  </sheetViews>
  <sheetFormatPr defaultRowHeight="17.600000000000001"/>
  <cols>
    <col min="1" max="2" width="9.42578125" customWidth="1"/>
    <col min="3" max="6" width="11.5" customWidth="1"/>
  </cols>
  <sheetData>
    <row r="1" spans="1:6">
      <c r="A1" s="60"/>
      <c r="B1" s="53"/>
      <c r="C1" s="61" t="s">
        <v>161</v>
      </c>
      <c r="D1" s="53"/>
      <c r="E1" s="53"/>
      <c r="F1" s="53"/>
    </row>
    <row r="2" spans="1:6">
      <c r="A2" s="60"/>
      <c r="B2" s="53"/>
      <c r="C2" s="61"/>
      <c r="D2" s="53"/>
      <c r="E2" s="53"/>
      <c r="F2" s="53"/>
    </row>
    <row r="3" spans="1:6">
      <c r="A3" s="25" t="s">
        <v>162</v>
      </c>
      <c r="B3" s="25" t="s">
        <v>163</v>
      </c>
      <c r="C3" s="25" t="s">
        <v>164</v>
      </c>
      <c r="D3" s="25" t="s">
        <v>165</v>
      </c>
      <c r="E3" s="25" t="s">
        <v>166</v>
      </c>
      <c r="F3" s="25" t="s">
        <v>167</v>
      </c>
    </row>
    <row r="4" spans="1:6">
      <c r="A4" s="25" t="s">
        <v>168</v>
      </c>
      <c r="B4" s="25" t="s">
        <v>169</v>
      </c>
      <c r="C4" s="62">
        <v>850</v>
      </c>
      <c r="D4" s="62">
        <v>540</v>
      </c>
      <c r="E4" s="62">
        <v>13</v>
      </c>
      <c r="F4" s="62">
        <f t="shared" ref="F4:F10" si="0">E4*20</f>
        <v>260</v>
      </c>
    </row>
    <row r="5" spans="1:6">
      <c r="A5" s="25" t="s">
        <v>170</v>
      </c>
      <c r="B5" s="25" t="s">
        <v>171</v>
      </c>
      <c r="C5" s="62">
        <v>1250</v>
      </c>
      <c r="D5" s="62">
        <v>950</v>
      </c>
      <c r="E5" s="62">
        <v>38</v>
      </c>
      <c r="F5" s="62">
        <f t="shared" si="0"/>
        <v>760</v>
      </c>
    </row>
    <row r="6" spans="1:6">
      <c r="A6" s="25" t="s">
        <v>172</v>
      </c>
      <c r="B6" s="25" t="s">
        <v>173</v>
      </c>
      <c r="C6" s="62">
        <v>2150</v>
      </c>
      <c r="D6" s="62">
        <v>1250</v>
      </c>
      <c r="E6" s="62">
        <v>17</v>
      </c>
      <c r="F6" s="62">
        <f t="shared" si="0"/>
        <v>340</v>
      </c>
    </row>
    <row r="7" spans="1:6">
      <c r="A7" s="25" t="s">
        <v>174</v>
      </c>
      <c r="B7" s="25" t="s">
        <v>175</v>
      </c>
      <c r="C7" s="62">
        <v>950</v>
      </c>
      <c r="D7" s="62">
        <v>1100</v>
      </c>
      <c r="E7" s="62">
        <v>25</v>
      </c>
      <c r="F7" s="62">
        <f t="shared" si="0"/>
        <v>500</v>
      </c>
    </row>
    <row r="8" spans="1:6">
      <c r="A8" s="25" t="s">
        <v>176</v>
      </c>
      <c r="B8" s="25" t="s">
        <v>177</v>
      </c>
      <c r="C8" s="62">
        <v>3120</v>
      </c>
      <c r="D8" s="62">
        <v>2100</v>
      </c>
      <c r="E8" s="62">
        <v>36</v>
      </c>
      <c r="F8" s="62">
        <f t="shared" si="0"/>
        <v>720</v>
      </c>
    </row>
    <row r="9" spans="1:6">
      <c r="A9" s="25" t="s">
        <v>178</v>
      </c>
      <c r="B9" s="25" t="s">
        <v>179</v>
      </c>
      <c r="C9" s="62">
        <v>5400</v>
      </c>
      <c r="D9" s="62">
        <v>1950</v>
      </c>
      <c r="E9" s="62">
        <v>21</v>
      </c>
      <c r="F9" s="62">
        <f t="shared" si="0"/>
        <v>420</v>
      </c>
    </row>
    <row r="10" spans="1:6">
      <c r="A10" s="25" t="s">
        <v>180</v>
      </c>
      <c r="B10" s="25" t="s">
        <v>181</v>
      </c>
      <c r="C10" s="62">
        <v>3250</v>
      </c>
      <c r="D10" s="62">
        <v>5600</v>
      </c>
      <c r="E10" s="62">
        <v>7</v>
      </c>
      <c r="F10" s="62">
        <f t="shared" si="0"/>
        <v>140</v>
      </c>
    </row>
    <row r="11" spans="1:6">
      <c r="A11" s="25" t="s">
        <v>182</v>
      </c>
      <c r="B11" s="63"/>
      <c r="C11" s="64"/>
      <c r="D11" s="64"/>
      <c r="E11" s="64"/>
      <c r="F11" s="64"/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9"/>
  <sheetViews>
    <sheetView workbookViewId="0"/>
  </sheetViews>
  <sheetFormatPr defaultRowHeight="17.600000000000001"/>
  <cols>
    <col min="1" max="7" width="9.35546875" customWidth="1"/>
  </cols>
  <sheetData>
    <row r="1" spans="1:7" ht="23.6">
      <c r="A1" s="76" t="s">
        <v>183</v>
      </c>
      <c r="B1" s="76"/>
      <c r="C1" s="76"/>
      <c r="D1" s="76"/>
      <c r="E1" s="76"/>
      <c r="F1" s="76"/>
      <c r="G1" s="76"/>
    </row>
    <row r="2" spans="1:7">
      <c r="A2" s="3"/>
      <c r="B2" s="3"/>
      <c r="C2" s="3"/>
      <c r="D2" s="3"/>
      <c r="E2" s="3"/>
      <c r="F2" s="3"/>
      <c r="G2" s="3"/>
    </row>
    <row r="3" spans="1:7">
      <c r="A3" s="10" t="s">
        <v>184</v>
      </c>
      <c r="B3" s="10" t="s">
        <v>23</v>
      </c>
      <c r="C3" s="10" t="s">
        <v>185</v>
      </c>
      <c r="D3" s="10" t="s">
        <v>186</v>
      </c>
      <c r="E3" s="10" t="s">
        <v>187</v>
      </c>
      <c r="F3" s="10" t="s">
        <v>188</v>
      </c>
      <c r="G3" s="10" t="s">
        <v>189</v>
      </c>
    </row>
    <row r="4" spans="1:7">
      <c r="A4" s="10" t="s">
        <v>78</v>
      </c>
      <c r="B4" s="10" t="s">
        <v>190</v>
      </c>
      <c r="C4" s="10" t="s">
        <v>191</v>
      </c>
      <c r="D4" s="10">
        <v>170</v>
      </c>
      <c r="E4" s="10">
        <v>65</v>
      </c>
      <c r="F4" s="10">
        <v>95</v>
      </c>
      <c r="G4" s="10" t="s">
        <v>192</v>
      </c>
    </row>
    <row r="5" spans="1:7">
      <c r="A5" s="10" t="s">
        <v>193</v>
      </c>
      <c r="B5" s="10" t="s">
        <v>194</v>
      </c>
      <c r="C5" s="10" t="s">
        <v>195</v>
      </c>
      <c r="D5" s="10">
        <v>175</v>
      </c>
      <c r="E5" s="10">
        <v>95</v>
      </c>
      <c r="F5" s="10">
        <v>120</v>
      </c>
      <c r="G5" s="10" t="s">
        <v>196</v>
      </c>
    </row>
    <row r="6" spans="1:7">
      <c r="A6" s="10" t="s">
        <v>197</v>
      </c>
      <c r="B6" s="10" t="s">
        <v>198</v>
      </c>
      <c r="C6" s="10" t="s">
        <v>199</v>
      </c>
      <c r="D6" s="10">
        <v>162</v>
      </c>
      <c r="E6" s="10">
        <v>48</v>
      </c>
      <c r="F6" s="10">
        <v>80</v>
      </c>
      <c r="G6" s="10" t="s">
        <v>200</v>
      </c>
    </row>
    <row r="7" spans="1:7">
      <c r="A7" s="10" t="s">
        <v>201</v>
      </c>
      <c r="B7" s="10" t="s">
        <v>202</v>
      </c>
      <c r="C7" s="10" t="s">
        <v>203</v>
      </c>
      <c r="D7" s="10">
        <v>177</v>
      </c>
      <c r="E7" s="10">
        <v>72</v>
      </c>
      <c r="F7" s="10">
        <v>110</v>
      </c>
      <c r="G7" s="10" t="s">
        <v>204</v>
      </c>
    </row>
    <row r="8" spans="1:7">
      <c r="A8" s="10" t="s">
        <v>205</v>
      </c>
      <c r="B8" s="10" t="s">
        <v>206</v>
      </c>
      <c r="C8" s="10" t="s">
        <v>207</v>
      </c>
      <c r="D8" s="10">
        <v>172</v>
      </c>
      <c r="E8" s="10">
        <v>68</v>
      </c>
      <c r="F8" s="10">
        <v>100</v>
      </c>
      <c r="G8" s="10" t="s">
        <v>208</v>
      </c>
    </row>
    <row r="9" spans="1:7">
      <c r="A9" s="10" t="s">
        <v>209</v>
      </c>
      <c r="B9" s="10" t="s">
        <v>210</v>
      </c>
      <c r="C9" s="10" t="s">
        <v>211</v>
      </c>
      <c r="D9" s="10">
        <v>168</v>
      </c>
      <c r="E9" s="10">
        <v>80</v>
      </c>
      <c r="F9" s="10">
        <v>115</v>
      </c>
      <c r="G9" s="10" t="s">
        <v>212</v>
      </c>
    </row>
  </sheetData>
  <mergeCells count="1">
    <mergeCell ref="A1:G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2020-04-06T00:11:56Z</dcterms:created>
  <dcterms:modified xsi:type="dcterms:W3CDTF">2021-06-21T07:26:36Z</dcterms:modified>
</cp:coreProperties>
</file>